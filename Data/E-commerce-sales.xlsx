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79B387CE-B129-41D6-9AFE-E2E7DD36788C}" xr6:coauthVersionLast="36" xr6:coauthVersionMax="36" xr10:uidLastSave="{00000000-0000-0000-0000-000000000000}"/>
  <bookViews>
    <workbookView xWindow="0" yWindow="0" windowWidth="20490" windowHeight="7425" firstSheet="1" activeTab="3" xr2:uid="{5AFF7C1C-9270-436E-8EAA-F6F7AB0E0698}"/>
  </bookViews>
  <sheets>
    <sheet name="overall performance" sheetId="3" r:id="rId1"/>
    <sheet name="Category and Region" sheetId="4" r:id="rId2"/>
    <sheet name="Product Performance" sheetId="5" r:id="rId3"/>
    <sheet name="Sheet2" sheetId="2" r:id="rId4"/>
  </sheets>
  <definedNames>
    <definedName name="ExternalData_1" localSheetId="3" hidden="1">Sheet2!$A$1:$J$1201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5" l="1"/>
  <c r="D5" i="5"/>
  <c r="D6" i="5"/>
  <c r="D7" i="5"/>
  <c r="D8" i="5"/>
  <c r="D9" i="5"/>
  <c r="D10" i="5"/>
  <c r="D11" i="5"/>
  <c r="D12" i="5"/>
  <c r="D13" i="5"/>
  <c r="D4" i="5"/>
  <c r="E7" i="3"/>
  <c r="E6" i="3"/>
  <c r="E5" i="3"/>
  <c r="E4" i="3"/>
  <c r="E8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9A487-46D4-4BC7-8E37-6422BA08DC1B}" keepAlive="1" name="Query - ecommerce_sales" description="Connection to the 'ecommerce_sales' query in the workbook." type="5" refreshedVersion="6" background="1" saveData="1">
    <dbPr connection="Provider=Microsoft.Mashup.OleDb.1;Data Source=$Workbook$;Location=ecommerce_sales;Extended Properties=&quot;&quot;" command="SELECT * FROM [ecommerce_sales]"/>
  </connection>
</connections>
</file>

<file path=xl/sharedStrings.xml><?xml version="1.0" encoding="utf-8"?>
<sst xmlns="http://schemas.openxmlformats.org/spreadsheetml/2006/main" count="6074" uniqueCount="1547">
  <si>
    <t>Order_ID</t>
  </si>
  <si>
    <t>Order_Date</t>
  </si>
  <si>
    <t>Customer_ID</t>
  </si>
  <si>
    <t>Product</t>
  </si>
  <si>
    <t>Category</t>
  </si>
  <si>
    <t>Region</t>
  </si>
  <si>
    <t>Quantity</t>
  </si>
  <si>
    <t>Discount</t>
  </si>
  <si>
    <t>Sales</t>
  </si>
  <si>
    <t>Profit</t>
  </si>
  <si>
    <t>ORD-00001</t>
  </si>
  <si>
    <t>CUST-0189</t>
  </si>
  <si>
    <t>Keyboard</t>
  </si>
  <si>
    <t>Accessories</t>
  </si>
  <si>
    <t>North</t>
  </si>
  <si>
    <t>ORD-00002</t>
  </si>
  <si>
    <t>CUST-0088</t>
  </si>
  <si>
    <t>ORD-00003</t>
  </si>
  <si>
    <t>CUST-0294</t>
  </si>
  <si>
    <t>Office Chair</t>
  </si>
  <si>
    <t>Furniture</t>
  </si>
  <si>
    <t>South</t>
  </si>
  <si>
    <t>ORD-00004</t>
  </si>
  <si>
    <t>CUST-0236</t>
  </si>
  <si>
    <t>Desk</t>
  </si>
  <si>
    <t>ORD-00005</t>
  </si>
  <si>
    <t>CUST-0188</t>
  </si>
  <si>
    <t>Laptop</t>
  </si>
  <si>
    <t>Electronics</t>
  </si>
  <si>
    <t>West</t>
  </si>
  <si>
    <t>ORD-00006</t>
  </si>
  <si>
    <t>CUST-0131</t>
  </si>
  <si>
    <t>Smartphone</t>
  </si>
  <si>
    <t>ORD-00007</t>
  </si>
  <si>
    <t>CUST-0089</t>
  </si>
  <si>
    <t>ORD-00008</t>
  </si>
  <si>
    <t>CUST-0092</t>
  </si>
  <si>
    <t>Headphones</t>
  </si>
  <si>
    <t>East</t>
  </si>
  <si>
    <t>ORD-00009</t>
  </si>
  <si>
    <t>CUST-0206</t>
  </si>
  <si>
    <t>ORD-00010</t>
  </si>
  <si>
    <t>CUST-0054</t>
  </si>
  <si>
    <t>ORD-00011</t>
  </si>
  <si>
    <t>CUST-0162</t>
  </si>
  <si>
    <t>ORD-00012</t>
  </si>
  <si>
    <t>CUST-0208</t>
  </si>
  <si>
    <t>ORD-00013</t>
  </si>
  <si>
    <t>ORD-00014</t>
  </si>
  <si>
    <t>CUST-0009</t>
  </si>
  <si>
    <t>Monitor</t>
  </si>
  <si>
    <t>ORD-00015</t>
  </si>
  <si>
    <t>CUST-0081</t>
  </si>
  <si>
    <t>ORD-00016</t>
  </si>
  <si>
    <t>CUST-0231</t>
  </si>
  <si>
    <t>ORD-00017</t>
  </si>
  <si>
    <t>CUST-0033</t>
  </si>
  <si>
    <t>ORD-00018</t>
  </si>
  <si>
    <t>CUST-0035</t>
  </si>
  <si>
    <t>ORD-00019</t>
  </si>
  <si>
    <t>CUST-0005</t>
  </si>
  <si>
    <t>ORD-00020</t>
  </si>
  <si>
    <t>CUST-0042</t>
  </si>
  <si>
    <t>ORD-00021</t>
  </si>
  <si>
    <t>CUST-0222</t>
  </si>
  <si>
    <t>ORD-00022</t>
  </si>
  <si>
    <t>CUST-0013</t>
  </si>
  <si>
    <t>ORD-00023</t>
  </si>
  <si>
    <t>CUST-0170</t>
  </si>
  <si>
    <t>ORD-00024</t>
  </si>
  <si>
    <t>CUST-0044</t>
  </si>
  <si>
    <t>ORD-00025</t>
  </si>
  <si>
    <t>CUST-0283</t>
  </si>
  <si>
    <t>Notebook</t>
  </si>
  <si>
    <t>Stationery</t>
  </si>
  <si>
    <t>ORD-00026</t>
  </si>
  <si>
    <t>CUST-0198</t>
  </si>
  <si>
    <t>ORD-00027</t>
  </si>
  <si>
    <t>CUST-0152</t>
  </si>
  <si>
    <t>ORD-00028</t>
  </si>
  <si>
    <t>CUST-0052</t>
  </si>
  <si>
    <t>Backpack</t>
  </si>
  <si>
    <t>ORD-00029</t>
  </si>
  <si>
    <t>ORD-00030</t>
  </si>
  <si>
    <t>CUST-0224</t>
  </si>
  <si>
    <t>ORD-00031</t>
  </si>
  <si>
    <t>CUST-0218</t>
  </si>
  <si>
    <t>ORD-00032</t>
  </si>
  <si>
    <t>CUST-0255</t>
  </si>
  <si>
    <t>ORD-00033</t>
  </si>
  <si>
    <t>CUST-0240</t>
  </si>
  <si>
    <t>Mouse</t>
  </si>
  <si>
    <t>ORD-00034</t>
  </si>
  <si>
    <t>CUST-0259</t>
  </si>
  <si>
    <t>ORD-00035</t>
  </si>
  <si>
    <t>CUST-0148</t>
  </si>
  <si>
    <t>ORD-00036</t>
  </si>
  <si>
    <t>CUST-0039</t>
  </si>
  <si>
    <t>ORD-00037</t>
  </si>
  <si>
    <t>CUST-0151</t>
  </si>
  <si>
    <t>ORD-00038</t>
  </si>
  <si>
    <t>CUST-0112</t>
  </si>
  <si>
    <t>ORD-00039</t>
  </si>
  <si>
    <t>CUST-0254</t>
  </si>
  <si>
    <t>ORD-00040</t>
  </si>
  <si>
    <t>CUST-0233</t>
  </si>
  <si>
    <t>ORD-00041</t>
  </si>
  <si>
    <t>CUST-0161</t>
  </si>
  <si>
    <t>ORD-00042</t>
  </si>
  <si>
    <t>CUST-0104</t>
  </si>
  <si>
    <t>ORD-00043</t>
  </si>
  <si>
    <t>CUST-0194</t>
  </si>
  <si>
    <t>ORD-00044</t>
  </si>
  <si>
    <t>CUST-0289</t>
  </si>
  <si>
    <t>ORD-00045</t>
  </si>
  <si>
    <t>CUST-0195</t>
  </si>
  <si>
    <t>ORD-00046</t>
  </si>
  <si>
    <t>CUST-0022</t>
  </si>
  <si>
    <t>ORD-00047</t>
  </si>
  <si>
    <t>CUST-0027</t>
  </si>
  <si>
    <t>ORD-00048</t>
  </si>
  <si>
    <t>CUST-0147</t>
  </si>
  <si>
    <t>ORD-00049</t>
  </si>
  <si>
    <t>CUST-0158</t>
  </si>
  <si>
    <t>ORD-00050</t>
  </si>
  <si>
    <t>CUST-0181</t>
  </si>
  <si>
    <t>ORD-00051</t>
  </si>
  <si>
    <t>ORD-00052</t>
  </si>
  <si>
    <t>CUST-0058</t>
  </si>
  <si>
    <t>ORD-00053</t>
  </si>
  <si>
    <t>CUST-0127</t>
  </si>
  <si>
    <t>ORD-00054</t>
  </si>
  <si>
    <t>CUST-0299</t>
  </si>
  <si>
    <t>ORD-00055</t>
  </si>
  <si>
    <t>ORD-00056</t>
  </si>
  <si>
    <t>CUST-0264</t>
  </si>
  <si>
    <t>ORD-00057</t>
  </si>
  <si>
    <t>CUST-0051</t>
  </si>
  <si>
    <t>ORD-00058</t>
  </si>
  <si>
    <t>CUST-0180</t>
  </si>
  <si>
    <t>ORD-00059</t>
  </si>
  <si>
    <t>CUST-0053</t>
  </si>
  <si>
    <t>ORD-00060</t>
  </si>
  <si>
    <t>CUST-0047</t>
  </si>
  <si>
    <t>ORD-00061</t>
  </si>
  <si>
    <t>CUST-0106</t>
  </si>
  <si>
    <t>ORD-00062</t>
  </si>
  <si>
    <t>ORD-00063</t>
  </si>
  <si>
    <t>ORD-00064</t>
  </si>
  <si>
    <t>CUST-0290</t>
  </si>
  <si>
    <t>ORD-00065</t>
  </si>
  <si>
    <t>CUST-0272</t>
  </si>
  <si>
    <t>ORD-00066</t>
  </si>
  <si>
    <t>CUST-0076</t>
  </si>
  <si>
    <t>ORD-00067</t>
  </si>
  <si>
    <t>CUST-0220</t>
  </si>
  <si>
    <t>ORD-00068</t>
  </si>
  <si>
    <t>ORD-00069</t>
  </si>
  <si>
    <t>CUST-0100</t>
  </si>
  <si>
    <t>ORD-00070</t>
  </si>
  <si>
    <t>CUST-0257</t>
  </si>
  <si>
    <t>ORD-00071</t>
  </si>
  <si>
    <t>CUST-0247</t>
  </si>
  <si>
    <t>ORD-00072</t>
  </si>
  <si>
    <t>ORD-00073</t>
  </si>
  <si>
    <t>CUST-0179</t>
  </si>
  <si>
    <t>ORD-00074</t>
  </si>
  <si>
    <t>CUST-0043</t>
  </si>
  <si>
    <t>ORD-00075</t>
  </si>
  <si>
    <t>CUST-0090</t>
  </si>
  <si>
    <t>ORD-00076</t>
  </si>
  <si>
    <t>CUST-0105</t>
  </si>
  <si>
    <t>ORD-00077</t>
  </si>
  <si>
    <t>CUST-0217</t>
  </si>
  <si>
    <t>ORD-00078</t>
  </si>
  <si>
    <t>CUST-0192</t>
  </si>
  <si>
    <t>ORD-00079</t>
  </si>
  <si>
    <t>CUST-0096</t>
  </si>
  <si>
    <t>ORD-00080</t>
  </si>
  <si>
    <t>CUST-0279</t>
  </si>
  <si>
    <t>ORD-00081</t>
  </si>
  <si>
    <t>CUST-0084</t>
  </si>
  <si>
    <t>ORD-00082</t>
  </si>
  <si>
    <t>ORD-00083</t>
  </si>
  <si>
    <t>CUST-0144</t>
  </si>
  <si>
    <t>ORD-00084</t>
  </si>
  <si>
    <t>ORD-00085</t>
  </si>
  <si>
    <t>CUST-0223</t>
  </si>
  <si>
    <t>ORD-00086</t>
  </si>
  <si>
    <t>CUST-0146</t>
  </si>
  <si>
    <t>ORD-00087</t>
  </si>
  <si>
    <t>CUST-0230</t>
  </si>
  <si>
    <t>ORD-00088</t>
  </si>
  <si>
    <t>ORD-00089</t>
  </si>
  <si>
    <t>CUST-0145</t>
  </si>
  <si>
    <t>ORD-00090</t>
  </si>
  <si>
    <t>CUST-0252</t>
  </si>
  <si>
    <t>ORD-00091</t>
  </si>
  <si>
    <t>CUST-0202</t>
  </si>
  <si>
    <t>ORD-00092</t>
  </si>
  <si>
    <t>CUST-0126</t>
  </si>
  <si>
    <t>ORD-00093</t>
  </si>
  <si>
    <t>CUST-0001</t>
  </si>
  <si>
    <t>ORD-00094</t>
  </si>
  <si>
    <t>CUST-0117</t>
  </si>
  <si>
    <t>ORD-00095</t>
  </si>
  <si>
    <t>CUST-0149</t>
  </si>
  <si>
    <t>ORD-00096</t>
  </si>
  <si>
    <t>CUST-0227</t>
  </si>
  <si>
    <t>ORD-00097</t>
  </si>
  <si>
    <t>CUST-0014</t>
  </si>
  <si>
    <t>ORD-00098</t>
  </si>
  <si>
    <t>CUST-0012</t>
  </si>
  <si>
    <t>ORD-00099</t>
  </si>
  <si>
    <t>CUST-0122</t>
  </si>
  <si>
    <t>ORD-00100</t>
  </si>
  <si>
    <t>CUST-0028</t>
  </si>
  <si>
    <t>ORD-00101</t>
  </si>
  <si>
    <t>ORD-00102</t>
  </si>
  <si>
    <t>CUST-0046</t>
  </si>
  <si>
    <t>ORD-00103</t>
  </si>
  <si>
    <t>CUST-0010</t>
  </si>
  <si>
    <t>ORD-00104</t>
  </si>
  <si>
    <t>ORD-00105</t>
  </si>
  <si>
    <t>CUST-0282</t>
  </si>
  <si>
    <t>ORD-00106</t>
  </si>
  <si>
    <t>CUST-0098</t>
  </si>
  <si>
    <t>ORD-00107</t>
  </si>
  <si>
    <t>CUST-0197</t>
  </si>
  <si>
    <t>ORD-00108</t>
  </si>
  <si>
    <t>CUST-0165</t>
  </si>
  <si>
    <t>ORD-00109</t>
  </si>
  <si>
    <t>ORD-00110</t>
  </si>
  <si>
    <t>CUST-0095</t>
  </si>
  <si>
    <t>ORD-00111</t>
  </si>
  <si>
    <t>ORD-00112</t>
  </si>
  <si>
    <t>ORD-00113</t>
  </si>
  <si>
    <t>CUST-0207</t>
  </si>
  <si>
    <t>ORD-00114</t>
  </si>
  <si>
    <t>ORD-00115</t>
  </si>
  <si>
    <t>CUST-0249</t>
  </si>
  <si>
    <t>ORD-00116</t>
  </si>
  <si>
    <t>ORD-00117</t>
  </si>
  <si>
    <t>CUST-0069</t>
  </si>
  <si>
    <t>ORD-00118</t>
  </si>
  <si>
    <t>ORD-00119</t>
  </si>
  <si>
    <t>CUST-0008</t>
  </si>
  <si>
    <t>ORD-00120</t>
  </si>
  <si>
    <t>ORD-00121</t>
  </si>
  <si>
    <t>ORD-00122</t>
  </si>
  <si>
    <t>CUST-0133</t>
  </si>
  <si>
    <t>ORD-00123</t>
  </si>
  <si>
    <t>CUST-0073</t>
  </si>
  <si>
    <t>ORD-00124</t>
  </si>
  <si>
    <t>CUST-0107</t>
  </si>
  <si>
    <t>ORD-00125</t>
  </si>
  <si>
    <t>CUST-0253</t>
  </si>
  <si>
    <t>ORD-00126</t>
  </si>
  <si>
    <t>CUST-0154</t>
  </si>
  <si>
    <t>ORD-00127</t>
  </si>
  <si>
    <t>CUST-0238</t>
  </si>
  <si>
    <t>ORD-00128</t>
  </si>
  <si>
    <t>ORD-00129</t>
  </si>
  <si>
    <t>CUST-0273</t>
  </si>
  <si>
    <t>ORD-00130</t>
  </si>
  <si>
    <t>ORD-00131</t>
  </si>
  <si>
    <t>ORD-00132</t>
  </si>
  <si>
    <t>ORD-00133</t>
  </si>
  <si>
    <t>CUST-0226</t>
  </si>
  <si>
    <t>ORD-00134</t>
  </si>
  <si>
    <t>ORD-00135</t>
  </si>
  <si>
    <t>CUST-0004</t>
  </si>
  <si>
    <t>ORD-00136</t>
  </si>
  <si>
    <t>CUST-0040</t>
  </si>
  <si>
    <t>ORD-00137</t>
  </si>
  <si>
    <t>CUST-0134</t>
  </si>
  <si>
    <t>ORD-00138</t>
  </si>
  <si>
    <t>CUST-0203</t>
  </si>
  <si>
    <t>ORD-00139</t>
  </si>
  <si>
    <t>CUST-0118</t>
  </si>
  <si>
    <t>ORD-00140</t>
  </si>
  <si>
    <t>ORD-00141</t>
  </si>
  <si>
    <t>ORD-00142</t>
  </si>
  <si>
    <t>CUST-0138</t>
  </si>
  <si>
    <t>ORD-00143</t>
  </si>
  <si>
    <t>CUST-0101</t>
  </si>
  <si>
    <t>ORD-00144</t>
  </si>
  <si>
    <t>CUST-0094</t>
  </si>
  <si>
    <t>ORD-00145</t>
  </si>
  <si>
    <t>CUST-0137</t>
  </si>
  <si>
    <t>ORD-00146</t>
  </si>
  <si>
    <t>CUST-0060</t>
  </si>
  <si>
    <t>ORD-00147</t>
  </si>
  <si>
    <t>CUST-0286</t>
  </si>
  <si>
    <t>ORD-00148</t>
  </si>
  <si>
    <t>CUST-0062</t>
  </si>
  <si>
    <t>ORD-00149</t>
  </si>
  <si>
    <t>CUST-0295</t>
  </si>
  <si>
    <t>ORD-00150</t>
  </si>
  <si>
    <t>CUST-0143</t>
  </si>
  <si>
    <t>ORD-00151</t>
  </si>
  <si>
    <t>ORD-00152</t>
  </si>
  <si>
    <t>ORD-00153</t>
  </si>
  <si>
    <t>ORD-00154</t>
  </si>
  <si>
    <t>ORD-00155</t>
  </si>
  <si>
    <t>ORD-00156</t>
  </si>
  <si>
    <t>CUST-0157</t>
  </si>
  <si>
    <t>ORD-00157</t>
  </si>
  <si>
    <t>CUST-0130</t>
  </si>
  <si>
    <t>ORD-00158</t>
  </si>
  <si>
    <t>ORD-00159</t>
  </si>
  <si>
    <t>ORD-00160</t>
  </si>
  <si>
    <t>CUST-0141</t>
  </si>
  <si>
    <t>ORD-00161</t>
  </si>
  <si>
    <t>CUST-0171</t>
  </si>
  <si>
    <t>ORD-00162</t>
  </si>
  <si>
    <t>ORD-00163</t>
  </si>
  <si>
    <t>ORD-00164</t>
  </si>
  <si>
    <t>ORD-00165</t>
  </si>
  <si>
    <t>CUST-0055</t>
  </si>
  <si>
    <t>ORD-00166</t>
  </si>
  <si>
    <t>ORD-00167</t>
  </si>
  <si>
    <t>CUST-0244</t>
  </si>
  <si>
    <t>ORD-00168</t>
  </si>
  <si>
    <t>CUST-0017</t>
  </si>
  <si>
    <t>ORD-00169</t>
  </si>
  <si>
    <t>ORD-00170</t>
  </si>
  <si>
    <t>ORD-00171</t>
  </si>
  <si>
    <t>ORD-00172</t>
  </si>
  <si>
    <t>CUST-0211</t>
  </si>
  <si>
    <t>ORD-00173</t>
  </si>
  <si>
    <t>CUST-0019</t>
  </si>
  <si>
    <t>ORD-00174</t>
  </si>
  <si>
    <t>CUST-0113</t>
  </si>
  <si>
    <t>ORD-00175</t>
  </si>
  <si>
    <t>ORD-00176</t>
  </si>
  <si>
    <t>CUST-0087</t>
  </si>
  <si>
    <t>ORD-00177</t>
  </si>
  <si>
    <t>ORD-00178</t>
  </si>
  <si>
    <t>CUST-0097</t>
  </si>
  <si>
    <t>ORD-00179</t>
  </si>
  <si>
    <t>CUST-0288</t>
  </si>
  <si>
    <t>ORD-00180</t>
  </si>
  <si>
    <t>ORD-00181</t>
  </si>
  <si>
    <t>ORD-00182</t>
  </si>
  <si>
    <t>ORD-00183</t>
  </si>
  <si>
    <t>CUST-0020</t>
  </si>
  <si>
    <t>ORD-00184</t>
  </si>
  <si>
    <t>CUST-0280</t>
  </si>
  <si>
    <t>ORD-00185</t>
  </si>
  <si>
    <t>CUST-0209</t>
  </si>
  <si>
    <t>ORD-00186</t>
  </si>
  <si>
    <t>CUST-0237</t>
  </si>
  <si>
    <t>ORD-00187</t>
  </si>
  <si>
    <t>ORD-00188</t>
  </si>
  <si>
    <t>CUST-0075</t>
  </si>
  <si>
    <t>ORD-00189</t>
  </si>
  <si>
    <t>CUST-0034</t>
  </si>
  <si>
    <t>ORD-00190</t>
  </si>
  <si>
    <t>ORD-00191</t>
  </si>
  <si>
    <t>CUST-0219</t>
  </si>
  <si>
    <t>ORD-00192</t>
  </si>
  <si>
    <t>CUST-0173</t>
  </si>
  <si>
    <t>ORD-00193</t>
  </si>
  <si>
    <t>CUST-0064</t>
  </si>
  <si>
    <t>ORD-00194</t>
  </si>
  <si>
    <t>ORD-00195</t>
  </si>
  <si>
    <t>ORD-00196</t>
  </si>
  <si>
    <t>ORD-00197</t>
  </si>
  <si>
    <t>CUST-0239</t>
  </si>
  <si>
    <t>ORD-00198</t>
  </si>
  <si>
    <t>CUST-0201</t>
  </si>
  <si>
    <t>ORD-00199</t>
  </si>
  <si>
    <t>CUST-0129</t>
  </si>
  <si>
    <t>ORD-00200</t>
  </si>
  <si>
    <t>CUST-0229</t>
  </si>
  <si>
    <t>ORD-00201</t>
  </si>
  <si>
    <t>ORD-00202</t>
  </si>
  <si>
    <t>CUST-0216</t>
  </si>
  <si>
    <t>ORD-00203</t>
  </si>
  <si>
    <t>ORD-00204</t>
  </si>
  <si>
    <t>CUST-0026</t>
  </si>
  <si>
    <t>ORD-00205</t>
  </si>
  <si>
    <t>CUST-0250</t>
  </si>
  <si>
    <t>ORD-00206</t>
  </si>
  <si>
    <t>CUST-0215</t>
  </si>
  <si>
    <t>ORD-00207</t>
  </si>
  <si>
    <t>CUST-0103</t>
  </si>
  <si>
    <t>ORD-00208</t>
  </si>
  <si>
    <t>ORD-00209</t>
  </si>
  <si>
    <t>CUST-0015</t>
  </si>
  <si>
    <t>ORD-00210</t>
  </si>
  <si>
    <t>CUST-0210</t>
  </si>
  <si>
    <t>ORD-00211</t>
  </si>
  <si>
    <t>ORD-00212</t>
  </si>
  <si>
    <t>ORD-00213</t>
  </si>
  <si>
    <t>CUST-0245</t>
  </si>
  <si>
    <t>ORD-00214</t>
  </si>
  <si>
    <t>CUST-0065</t>
  </si>
  <si>
    <t>ORD-00215</t>
  </si>
  <si>
    <t>ORD-00216</t>
  </si>
  <si>
    <t>ORD-00217</t>
  </si>
  <si>
    <t>CUST-0293</t>
  </si>
  <si>
    <t>ORD-00218</t>
  </si>
  <si>
    <t>CUST-0011</t>
  </si>
  <si>
    <t>ORD-00219</t>
  </si>
  <si>
    <t>CUST-0072</t>
  </si>
  <si>
    <t>ORD-00220</t>
  </si>
  <si>
    <t>ORD-00221</t>
  </si>
  <si>
    <t>CUST-0262</t>
  </si>
  <si>
    <t>ORD-00222</t>
  </si>
  <si>
    <t>CUST-0241</t>
  </si>
  <si>
    <t>ORD-00223</t>
  </si>
  <si>
    <t>ORD-00224</t>
  </si>
  <si>
    <t>CUST-0068</t>
  </si>
  <si>
    <t>ORD-00225</t>
  </si>
  <si>
    <t>CUST-0123</t>
  </si>
  <si>
    <t>ORD-00226</t>
  </si>
  <si>
    <t>ORD-00227</t>
  </si>
  <si>
    <t>CUST-0124</t>
  </si>
  <si>
    <t>ORD-00228</t>
  </si>
  <si>
    <t>CUST-0037</t>
  </si>
  <si>
    <t>ORD-00229</t>
  </si>
  <si>
    <t>ORD-00230</t>
  </si>
  <si>
    <t>ORD-00231</t>
  </si>
  <si>
    <t>CUST-0059</t>
  </si>
  <si>
    <t>ORD-00232</t>
  </si>
  <si>
    <t>ORD-00233</t>
  </si>
  <si>
    <t>ORD-00234</t>
  </si>
  <si>
    <t>ORD-00235</t>
  </si>
  <si>
    <t>ORD-00236</t>
  </si>
  <si>
    <t>ORD-00237</t>
  </si>
  <si>
    <t>CUST-0074</t>
  </si>
  <si>
    <t>ORD-00238</t>
  </si>
  <si>
    <t>CUST-0278</t>
  </si>
  <si>
    <t>ORD-00239</t>
  </si>
  <si>
    <t>ORD-00240</t>
  </si>
  <si>
    <t>CUST-0120</t>
  </si>
  <si>
    <t>ORD-00241</t>
  </si>
  <si>
    <t>CUST-0204</t>
  </si>
  <si>
    <t>ORD-00242</t>
  </si>
  <si>
    <t>ORD-00243</t>
  </si>
  <si>
    <t>ORD-00244</t>
  </si>
  <si>
    <t>CUST-0271</t>
  </si>
  <si>
    <t>ORD-00245</t>
  </si>
  <si>
    <t>ORD-00246</t>
  </si>
  <si>
    <t>ORD-00247</t>
  </si>
  <si>
    <t>ORD-00248</t>
  </si>
  <si>
    <t>CUST-0281</t>
  </si>
  <si>
    <t>ORD-00249</t>
  </si>
  <si>
    <t>ORD-00250</t>
  </si>
  <si>
    <t>ORD-00251</t>
  </si>
  <si>
    <t>ORD-00252</t>
  </si>
  <si>
    <t>ORD-00253</t>
  </si>
  <si>
    <t>ORD-00254</t>
  </si>
  <si>
    <t>CUST-0277</t>
  </si>
  <si>
    <t>ORD-00255</t>
  </si>
  <si>
    <t>CUST-0102</t>
  </si>
  <si>
    <t>ORD-00256</t>
  </si>
  <si>
    <t>ORD-00257</t>
  </si>
  <si>
    <t>CUST-0242</t>
  </si>
  <si>
    <t>ORD-00258</t>
  </si>
  <si>
    <t>CUST-0077</t>
  </si>
  <si>
    <t>ORD-00259</t>
  </si>
  <si>
    <t>ORD-00260</t>
  </si>
  <si>
    <t>ORD-00261</t>
  </si>
  <si>
    <t>ORD-00262</t>
  </si>
  <si>
    <t>CUST-0111</t>
  </si>
  <si>
    <t>ORD-00263</t>
  </si>
  <si>
    <t>ORD-00264</t>
  </si>
  <si>
    <t>ORD-00265</t>
  </si>
  <si>
    <t>ORD-00266</t>
  </si>
  <si>
    <t>CUST-0300</t>
  </si>
  <si>
    <t>ORD-00267</t>
  </si>
  <si>
    <t>ORD-00268</t>
  </si>
  <si>
    <t>ORD-00269</t>
  </si>
  <si>
    <t>CUST-0024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</si>
  <si>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</si>
  <si>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</si>
  <si>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</si>
  <si>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</si>
  <si>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</si>
  <si>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</si>
  <si>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</si>
  <si>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</si>
  <si>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</si>
  <si>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CUST-0261</t>
  </si>
  <si>
    <t>ORD-00279</t>
  </si>
  <si>
    <t>CUST-0287</t>
  </si>
  <si>
    <t>ORD-00280</t>
  </si>
  <si>
    <t>CUST-0093</t>
  </si>
  <si>
    <t>ORD-00281</t>
  </si>
  <si>
    <t>ORD-00282</t>
  </si>
  <si>
    <t>CUST-0175</t>
  </si>
  <si>
    <t>ORD-00283</t>
  </si>
  <si>
    <t>CUST-0156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</si>
  <si>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</si>
  <si>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</si>
  <si>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</si>
  <si>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</si>
  <si>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</si>
  <si>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</si>
  <si>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</si>
  <si>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</si>
  <si>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CUST-0086</t>
  </si>
  <si>
    <t>ORD-00292</t>
  </si>
  <si>
    <t>CUST-0114</t>
  </si>
  <si>
    <t>ORD-00293</t>
  </si>
  <si>
    <t>ORD-00294</t>
  </si>
  <si>
    <t>ORD-00295</t>
  </si>
  <si>
    <t>ORD-00296</t>
  </si>
  <si>
    <t>ORD-00297</t>
  </si>
  <si>
    <t>CUST-0132</t>
  </si>
  <si>
    <t>ORD-00298</t>
  </si>
  <si>
    <t>ORD-00299</t>
  </si>
  <si>
    <t>CUST-0199</t>
  </si>
  <si>
    <t>ORD-00300</t>
  </si>
  <si>
    <t>ORD-00301</t>
  </si>
  <si>
    <t>CUST-0110</t>
  </si>
  <si>
    <t>ORD-00302</t>
  </si>
  <si>
    <t>ORD-00303</t>
  </si>
  <si>
    <t>ORD-00304</t>
  </si>
  <si>
    <t>ORD-00305</t>
  </si>
  <si>
    <t>CUST-0021</t>
  </si>
  <si>
    <t>ORD-00306</t>
  </si>
  <si>
    <t>ORD-00307</t>
  </si>
  <si>
    <t>ORD-00308</t>
  </si>
  <si>
    <t>ORD-00309</t>
  </si>
  <si>
    <t>CUST-0108</t>
  </si>
  <si>
    <t>ORD-00310</t>
  </si>
  <si>
    <t>ORD-00311</t>
  </si>
  <si>
    <t>CUST-0172</t>
  </si>
  <si>
    <t>ORD-00312</t>
  </si>
  <si>
    <t>ORD-00313</t>
  </si>
  <si>
    <t>CUST-0121</t>
  </si>
  <si>
    <t>ORD-00314</t>
  </si>
  <si>
    <t>CUST-0050</t>
  </si>
  <si>
    <t>ORD-00315</t>
  </si>
  <si>
    <t>ORD-00316</t>
  </si>
  <si>
    <t>ORD-00317</t>
  </si>
  <si>
    <t>CUST-0150</t>
  </si>
  <si>
    <t>ORD-00318</t>
  </si>
  <si>
    <t>ORD-00319</t>
  </si>
  <si>
    <t>CUST-0085</t>
  </si>
  <si>
    <t>ORD-00320</t>
  </si>
  <si>
    <t>ORD-00321</t>
  </si>
  <si>
    <t>ORD-00322</t>
  </si>
  <si>
    <t>CUST-0164</t>
  </si>
  <si>
    <t>ORD-00323</t>
  </si>
  <si>
    <t>CUST-0196</t>
  </si>
  <si>
    <t>ORD-00324</t>
  </si>
  <si>
    <t>ORD-00325</t>
  </si>
  <si>
    <t>ORD-00326</t>
  </si>
  <si>
    <t>ORD-00327</t>
  </si>
  <si>
    <t>CUST-0036</t>
  </si>
  <si>
    <t>ORD-00328</t>
  </si>
  <si>
    <t>ORD-00329</t>
  </si>
  <si>
    <t>ORD-00330</t>
  </si>
  <si>
    <t>ORD-00331</t>
  </si>
  <si>
    <t>ORD-00332</t>
  </si>
  <si>
    <t>ORD-00333</t>
  </si>
  <si>
    <t>CUST-0258</t>
  </si>
  <si>
    <t>ORD-00334</t>
  </si>
  <si>
    <t>CUST-0190</t>
  </si>
  <si>
    <t>ORD-00335</t>
  </si>
  <si>
    <t>ORD-00336</t>
  </si>
  <si>
    <t>ORD-00337</t>
  </si>
  <si>
    <t>ORD-00338</t>
  </si>
  <si>
    <t>ORD-00339</t>
  </si>
  <si>
    <t>ORD-00340</t>
  </si>
  <si>
    <t>ORD-00341</t>
  </si>
  <si>
    <t>CUST-0025</t>
  </si>
  <si>
    <t>ORD-00342</t>
  </si>
  <si>
    <t>ORD-00343</t>
  </si>
  <si>
    <t>ORD-00344</t>
  </si>
  <si>
    <t>CUST-0160</t>
  </si>
  <si>
    <t>ORD-00345</t>
  </si>
  <si>
    <t>ORD-00346</t>
  </si>
  <si>
    <t>CUST-0178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</si>
  <si>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</si>
  <si>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</si>
  <si>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</si>
  <si>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</si>
  <si>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</si>
  <si>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</si>
  <si>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</si>
  <si>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</si>
  <si>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</si>
  <si>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CUST-0191</t>
  </si>
  <si>
    <t>ORD-00356</t>
  </si>
  <si>
    <t>ORD-00357</t>
  </si>
  <si>
    <t>ORD-00358</t>
  </si>
  <si>
    <t>ORD-00359</t>
  </si>
  <si>
    <t>ORD-00360</t>
  </si>
  <si>
    <t>CUST-0284</t>
  </si>
  <si>
    <t>ORD-00361</t>
  </si>
  <si>
    <t>CUST-0079</t>
  </si>
  <si>
    <t>ORD-00362</t>
  </si>
  <si>
    <t>ORD-00363</t>
  </si>
  <si>
    <t>CUST-0109</t>
  </si>
  <si>
    <t>ORD-00364</t>
  </si>
  <si>
    <t>ORD-00365</t>
  </si>
  <si>
    <t>ORD-00366</t>
  </si>
  <si>
    <t>ORD-00367</t>
  </si>
  <si>
    <t>CUST-0049</t>
  </si>
  <si>
    <t>ORD-00368</t>
  </si>
  <si>
    <t>ORD-00369</t>
  </si>
  <si>
    <t>ORD-00370</t>
  </si>
  <si>
    <t>ORD-00371</t>
  </si>
  <si>
    <t>ORD-00372</t>
  </si>
  <si>
    <t>CUST-0213</t>
  </si>
  <si>
    <t>ORD-00373</t>
  </si>
  <si>
    <t>CUST-0032</t>
  </si>
  <si>
    <t>ORD-00374</t>
  </si>
  <si>
    <t>ORD-00375</t>
  </si>
  <si>
    <t>ORD-00376</t>
  </si>
  <si>
    <t>CUST-0029</t>
  </si>
  <si>
    <t>ORD-00377</t>
  </si>
  <si>
    <t>ORD-00378</t>
  </si>
  <si>
    <t>CUST-0003</t>
  </si>
  <si>
    <t>ORD-00379</t>
  </si>
  <si>
    <t>ORD-00380</t>
  </si>
  <si>
    <t>ORD-00381</t>
  </si>
  <si>
    <t>ORD-00382</t>
  </si>
  <si>
    <t>ORD-00383</t>
  </si>
  <si>
    <t>ORD-00384</t>
  </si>
  <si>
    <t>ORD-00385</t>
  </si>
  <si>
    <t>CUST-0243</t>
  </si>
  <si>
    <t>ORD-00386</t>
  </si>
  <si>
    <t>ORD-00387</t>
  </si>
  <si>
    <t>ORD-00388</t>
  </si>
  <si>
    <t>CUST-0119</t>
  </si>
  <si>
    <t>ORD-00389</t>
  </si>
  <si>
    <t>CUST-0186</t>
  </si>
  <si>
    <t>ORD-00390</t>
  </si>
  <si>
    <t>ORD-00391</t>
  </si>
  <si>
    <t>ORD-00392</t>
  </si>
  <si>
    <t>ORD-00393</t>
  </si>
  <si>
    <t>CUST-0183</t>
  </si>
  <si>
    <t>ORD-00394</t>
  </si>
  <si>
    <t>CUST-0251</t>
  </si>
  <si>
    <t>ORD-00395</t>
  </si>
  <si>
    <t>ORD-00396</t>
  </si>
  <si>
    <t>ORD-00397</t>
  </si>
  <si>
    <t>CUST-0061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</si>
  <si>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</si>
  <si>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</si>
  <si>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</si>
  <si>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</si>
  <si>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</si>
  <si>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</si>
  <si>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</si>
  <si>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</si>
  <si>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CUST-0270</t>
  </si>
  <si>
    <t>ORD-00406</t>
  </si>
  <si>
    <t>CUST-0228</t>
  </si>
  <si>
    <t>ORD-00407</t>
  </si>
  <si>
    <t>ORD-00408</t>
  </si>
  <si>
    <t>ORD-00409</t>
  </si>
  <si>
    <t>CUST-0142</t>
  </si>
  <si>
    <t>ORD-00410</t>
  </si>
  <si>
    <t>ORD-00411</t>
  </si>
  <si>
    <t>ORD-00412</t>
  </si>
  <si>
    <t>ORD-00413</t>
  </si>
  <si>
    <t>ORD-00414</t>
  </si>
  <si>
    <t>ORD-00415</t>
  </si>
  <si>
    <t>ORD-00416</t>
  </si>
  <si>
    <t>CUST-0125</t>
  </si>
  <si>
    <t>ORD-00417</t>
  </si>
  <si>
    <t>ORD-00418</t>
  </si>
  <si>
    <t>ORD-00419</t>
  </si>
  <si>
    <t>CUST-0232</t>
  </si>
  <si>
    <t>ORD-00420</t>
  </si>
  <si>
    <t>CUST-0168</t>
  </si>
  <si>
    <t>ORD-00421</t>
  </si>
  <si>
    <t>ORD-00422</t>
  </si>
  <si>
    <t>ORD-00423</t>
  </si>
  <si>
    <t>ORD-00424</t>
  </si>
  <si>
    <t>CUST-0297</t>
  </si>
  <si>
    <t>ORD-00425</t>
  </si>
  <si>
    <t>ORD-00426</t>
  </si>
  <si>
    <t>CUST-0263</t>
  </si>
  <si>
    <t>ORD-00427</t>
  </si>
  <si>
    <t>ORD-00428</t>
  </si>
  <si>
    <t>ORD-00429</t>
  </si>
  <si>
    <t>CUST-0275</t>
  </si>
  <si>
    <t>ORD-00430</t>
  </si>
  <si>
    <t>ORD-00431</t>
  </si>
  <si>
    <t>CUST-0260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</si>
  <si>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</si>
  <si>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</si>
  <si>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</si>
  <si>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</si>
  <si>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</si>
  <si>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</si>
  <si>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</si>
  <si>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</si>
  <si>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</si>
  <si>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CUST-0066</t>
  </si>
  <si>
    <t>ORD-00441</t>
  </si>
  <si>
    <t>ORD-00442</t>
  </si>
  <si>
    <t>ORD-00443</t>
  </si>
  <si>
    <t>ORD-00444</t>
  </si>
  <si>
    <t>ORD-00445</t>
  </si>
  <si>
    <t>ORD-00446</t>
  </si>
  <si>
    <t>CUST-0030</t>
  </si>
  <si>
    <t>ORD-00447</t>
  </si>
  <si>
    <t>ORD-00448</t>
  </si>
  <si>
    <t>ORD-00449</t>
  </si>
  <si>
    <t>ORD-00450</t>
  </si>
  <si>
    <t>ORD-00451</t>
  </si>
  <si>
    <t>CUST-0265</t>
  </si>
  <si>
    <t>ORD-00452</t>
  </si>
  <si>
    <t>ORD-00453</t>
  </si>
  <si>
    <t>CUST-0002</t>
  </si>
  <si>
    <t>ORD-00454</t>
  </si>
  <si>
    <t>CUST-0016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</si>
  <si>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</si>
  <si>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</si>
  <si>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</si>
  <si>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</si>
  <si>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</si>
  <si>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</si>
  <si>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</si>
  <si>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</si>
  <si>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</si>
  <si>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</si>
  <si>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</si>
  <si>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</si>
  <si>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</si>
  <si>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</si>
  <si>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</si>
  <si>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</si>
  <si>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</si>
  <si>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</si>
  <si>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</si>
  <si>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</si>
  <si>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</si>
  <si>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</si>
  <si>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CUST-0266</t>
  </si>
  <si>
    <t>ORD-00477</t>
  </si>
  <si>
    <t>ORD-00478</t>
  </si>
  <si>
    <t>CUST-0296</t>
  </si>
  <si>
    <t>ORD-00479</t>
  </si>
  <si>
    <t>ORD-00480</t>
  </si>
  <si>
    <t>ORD-00481</t>
  </si>
  <si>
    <t>ORD-00482</t>
  </si>
  <si>
    <t>ORD-00483</t>
  </si>
  <si>
    <t>CUST-0023</t>
  </si>
  <si>
    <t>ORD-00484</t>
  </si>
  <si>
    <t>CUST-0167</t>
  </si>
  <si>
    <t>ORD-00485</t>
  </si>
  <si>
    <t>CUST-0056</t>
  </si>
  <si>
    <t>ORD-00486</t>
  </si>
  <si>
    <t>ORD-00487</t>
  </si>
  <si>
    <t>CUST-0176</t>
  </si>
  <si>
    <t>ORD-00488</t>
  </si>
  <si>
    <t>ORD-00489</t>
  </si>
  <si>
    <t>CUST-0067</t>
  </si>
  <si>
    <t>ORD-00490</t>
  </si>
  <si>
    <t>CUST-0234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</si>
  <si>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</si>
  <si>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</si>
  <si>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</si>
  <si>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</si>
  <si>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</si>
  <si>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</si>
  <si>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</si>
  <si>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</si>
  <si>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</si>
  <si>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</si>
  <si>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</si>
  <si>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CUST-0140</t>
  </si>
  <si>
    <t>ORD-00502</t>
  </si>
  <si>
    <t>CUST-0184</t>
  </si>
  <si>
    <t>ORD-00503</t>
  </si>
  <si>
    <t>ORD-00504</t>
  </si>
  <si>
    <t>ORD-00505</t>
  </si>
  <si>
    <t>ORD-00506</t>
  </si>
  <si>
    <t>CUST-0116</t>
  </si>
  <si>
    <t>ORD-00507</t>
  </si>
  <si>
    <t>ORD-00508</t>
  </si>
  <si>
    <t>ORD-00509</t>
  </si>
  <si>
    <t>ORD-00510</t>
  </si>
  <si>
    <t>ORD-00511</t>
  </si>
  <si>
    <t>CUST-0163</t>
  </si>
  <si>
    <t>ORD-00512</t>
  </si>
  <si>
    <t>CUST-0135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</si>
  <si>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</si>
  <si>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</si>
  <si>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</si>
  <si>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</si>
  <si>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</si>
  <si>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</si>
  <si>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</si>
  <si>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</si>
  <si>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</si>
  <si>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</si>
  <si>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</si>
  <si>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</si>
  <si>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</si>
  <si>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</si>
  <si>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</si>
  <si>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</si>
  <si>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</si>
  <si>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</si>
  <si>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CUST-0083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</si>
  <si>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</si>
  <si>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</si>
  <si>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</si>
  <si>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</si>
  <si>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</si>
  <si>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</si>
  <si>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</si>
  <si>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</si>
  <si>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</si>
  <si>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</si>
  <si>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</si>
  <si>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</si>
  <si>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</si>
  <si>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</si>
  <si>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</si>
  <si>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</si>
  <si>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</si>
  <si>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</si>
  <si>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</si>
  <si>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</si>
  <si>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</si>
  <si>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</si>
  <si>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CUST-0045</t>
  </si>
  <si>
    <t>ORD-00553</t>
  </si>
  <si>
    <t>ORD-00554</t>
  </si>
  <si>
    <t>ORD-00555</t>
  </si>
  <si>
    <t>ORD-00556</t>
  </si>
  <si>
    <t>ORD-00557</t>
  </si>
  <si>
    <t>ORD-00558</t>
  </si>
  <si>
    <t>ORD-00559</t>
  </si>
  <si>
    <t>CUST-0174</t>
  </si>
  <si>
    <t>ORD-00560</t>
  </si>
  <si>
    <t>CUST-0248</t>
  </si>
  <si>
    <t>ORD-00561</t>
  </si>
  <si>
    <t>ORD-00562</t>
  </si>
  <si>
    <t>ORD-00563</t>
  </si>
  <si>
    <t>ORD-00564</t>
  </si>
  <si>
    <t>ORD-00565</t>
  </si>
  <si>
    <t>ORD-00566</t>
  </si>
  <si>
    <t>CUST-0048</t>
  </si>
  <si>
    <t>ORD-00567</t>
  </si>
  <si>
    <t>CUST-0274</t>
  </si>
  <si>
    <t>ORD-00568</t>
  </si>
  <si>
    <t>CUST-0285</t>
  </si>
  <si>
    <t>ORD-00569</t>
  </si>
  <si>
    <t>ORD-00570</t>
  </si>
  <si>
    <t>ORD-00571</t>
  </si>
  <si>
    <t>ORD-00572</t>
  </si>
  <si>
    <t>ORD-00573</t>
  </si>
  <si>
    <t>CUST-0091</t>
  </si>
  <si>
    <t>ORD-00574</t>
  </si>
  <si>
    <t>ORD-00575</t>
  </si>
  <si>
    <t>CUST-0155</t>
  </si>
  <si>
    <t>ORD-00576</t>
  </si>
  <si>
    <t>ORD-00577</t>
  </si>
  <si>
    <t>ORD-00578</t>
  </si>
  <si>
    <t>ORD-00579</t>
  </si>
  <si>
    <t>ORD-00580</t>
  </si>
  <si>
    <t>CUST-0041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</si>
  <si>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</si>
  <si>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</si>
  <si>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</si>
  <si>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</si>
  <si>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</si>
  <si>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</si>
  <si>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</si>
  <si>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</si>
  <si>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</si>
  <si>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</si>
  <si>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</si>
  <si>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</si>
  <si>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CUST-0038</t>
  </si>
  <si>
    <t>ORD-00593</t>
  </si>
  <si>
    <t>ORD-00594</t>
  </si>
  <si>
    <t>CUST-0185</t>
  </si>
  <si>
    <t>ORD-00595</t>
  </si>
  <si>
    <t>ORD-00596</t>
  </si>
  <si>
    <t>ORD-00597</t>
  </si>
  <si>
    <t>CUST-0214</t>
  </si>
  <si>
    <t>ORD-00598</t>
  </si>
  <si>
    <t>ORD-00599</t>
  </si>
  <si>
    <t>CUST-0292</t>
  </si>
  <si>
    <t>ORD-00600</t>
  </si>
  <si>
    <t>ORD-00601</t>
  </si>
  <si>
    <t>ORD-00602</t>
  </si>
  <si>
    <t>ORD-00603</t>
  </si>
  <si>
    <t>ORD-00604</t>
  </si>
  <si>
    <t>ORD-00605</t>
  </si>
  <si>
    <t>CUST-0078</t>
  </si>
  <si>
    <t>ORD-00606</t>
  </si>
  <si>
    <t>ORD-00607</t>
  </si>
  <si>
    <t>ORD-00608</t>
  </si>
  <si>
    <t>ORD-00609</t>
  </si>
  <si>
    <t>CUST-0007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</si>
  <si>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</si>
  <si>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</si>
  <si>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</si>
  <si>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</si>
  <si>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</si>
  <si>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</si>
  <si>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</si>
  <si>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</si>
  <si>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CUST-0169</t>
  </si>
  <si>
    <t>ORD-00618</t>
  </si>
  <si>
    <t>CUST-0177</t>
  </si>
  <si>
    <t>ORD-00619</t>
  </si>
  <si>
    <t>CUST-0291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</si>
  <si>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</si>
  <si>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</si>
  <si>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</si>
  <si>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</si>
  <si>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</si>
  <si>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</si>
  <si>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</si>
  <si>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</si>
  <si>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</si>
  <si>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</si>
  <si>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</si>
  <si>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</si>
  <si>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</si>
  <si>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</si>
  <si>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</si>
  <si>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</si>
  <si>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</si>
  <si>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</si>
  <si>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</si>
  <si>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</si>
  <si>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</si>
  <si>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</si>
  <si>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</si>
  <si>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</si>
  <si>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</si>
  <si>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</si>
  <si>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</si>
  <si>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</si>
  <si>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</si>
  <si>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CUST-0153</t>
  </si>
  <si>
    <t>ORD-00649</t>
  </si>
  <si>
    <t>ORD-00650</t>
  </si>
  <si>
    <t>ORD-00651</t>
  </si>
  <si>
    <t>ORD-00652</t>
  </si>
  <si>
    <t>ORD-00653</t>
  </si>
  <si>
    <t>ORD-00654</t>
  </si>
  <si>
    <t>CUST-0018</t>
  </si>
  <si>
    <t>ORD-00655</t>
  </si>
  <si>
    <t>ORD-00656</t>
  </si>
  <si>
    <t>ORD-00657</t>
  </si>
  <si>
    <t>ORD-00658</t>
  </si>
  <si>
    <t>ORD-00659</t>
  </si>
  <si>
    <t>CUST-0246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</si>
  <si>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</si>
  <si>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</si>
  <si>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</si>
  <si>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</si>
  <si>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</si>
  <si>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</si>
  <si>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</si>
  <si>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</si>
  <si>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</si>
  <si>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</si>
  <si>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</si>
  <si>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</si>
  <si>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</si>
  <si>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</si>
  <si>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</si>
  <si>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</si>
  <si>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</si>
  <si>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</si>
  <si>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</si>
  <si>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</si>
  <si>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</si>
  <si>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</si>
  <si>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</si>
  <si>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</si>
  <si>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</si>
  <si>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</si>
  <si>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</si>
  <si>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</si>
  <si>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</si>
  <si>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</si>
  <si>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CUST-0276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</si>
  <si>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</si>
  <si>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</si>
  <si>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</si>
  <si>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</si>
  <si>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</si>
  <si>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</si>
  <si>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</si>
  <si>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</si>
  <si>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</si>
  <si>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</si>
  <si>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</si>
  <si>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CUST-0182</t>
  </si>
  <si>
    <t>ORD-00701</t>
  </si>
  <si>
    <t>CUST-0193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</si>
  <si>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</si>
  <si>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</si>
  <si>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</si>
  <si>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</si>
  <si>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</si>
  <si>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</si>
  <si>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</si>
  <si>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</si>
  <si>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</si>
  <si>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</si>
  <si>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</si>
  <si>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CUST-0071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</si>
  <si>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</si>
  <si>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</si>
  <si>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</si>
  <si>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</si>
  <si>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</si>
  <si>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</si>
  <si>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</si>
  <si>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</si>
  <si>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</si>
  <si>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</si>
  <si>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</si>
  <si>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</si>
  <si>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</si>
  <si>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</si>
  <si>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</si>
  <si>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</si>
  <si>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</si>
  <si>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CUST-0200</t>
  </si>
  <si>
    <t>ORD-00730</t>
  </si>
  <si>
    <t>CUST-0256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</si>
  <si>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</si>
  <si>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</si>
  <si>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</si>
  <si>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</si>
  <si>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</si>
  <si>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</si>
  <si>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</si>
  <si>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</si>
  <si>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</si>
  <si>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</si>
  <si>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</si>
  <si>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</si>
  <si>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</si>
  <si>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</si>
  <si>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CUST-0139</t>
  </si>
  <si>
    <t>ORD-00745</t>
  </si>
  <si>
    <t>ORD-00746</t>
  </si>
  <si>
    <t>ORD-00747</t>
  </si>
  <si>
    <t>ORD-00748</t>
  </si>
  <si>
    <t>CUST-0006</t>
  </si>
  <si>
    <t>ORD-00749</t>
  </si>
  <si>
    <t>ORD-00750</t>
  </si>
  <si>
    <t>CUST-0269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</si>
  <si>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</si>
  <si>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</si>
  <si>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</si>
  <si>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</si>
  <si>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</si>
  <si>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</si>
  <si>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</si>
  <si>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</si>
  <si>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</si>
  <si>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</si>
  <si>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</si>
  <si>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</si>
  <si>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</si>
  <si>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</si>
  <si>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</si>
  <si>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</si>
  <si>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</si>
  <si>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CUST-0267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</si>
  <si>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</si>
  <si>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</si>
  <si>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</si>
  <si>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</si>
  <si>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</si>
  <si>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</si>
  <si>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</si>
  <si>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</si>
  <si>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</si>
  <si>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</si>
  <si>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</si>
  <si>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</si>
  <si>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</si>
  <si>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</si>
  <si>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CUST-0128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</si>
  <si>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</si>
  <si>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</si>
  <si>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</si>
  <si>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</si>
  <si>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</si>
  <si>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</si>
  <si>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</si>
  <si>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</si>
  <si>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</si>
  <si>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</si>
  <si>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</si>
  <si>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</si>
  <si>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</si>
  <si>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</si>
  <si>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</si>
  <si>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</si>
  <si>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</si>
  <si>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</si>
  <si>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</si>
  <si>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</si>
  <si>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</si>
  <si>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</si>
  <si>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</si>
  <si>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</si>
  <si>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</si>
  <si>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</si>
  <si>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</si>
  <si>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</si>
  <si>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</si>
  <si>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CUST-0221</t>
  </si>
  <si>
    <t>ORD-00811</t>
  </si>
  <si>
    <t>ORD-00812</t>
  </si>
  <si>
    <t>ORD-00813</t>
  </si>
  <si>
    <t>ORD-00814</t>
  </si>
  <si>
    <t>ORD-00815</t>
  </si>
  <si>
    <t>CUST-0159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</si>
  <si>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</si>
  <si>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</si>
  <si>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</si>
  <si>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</si>
  <si>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</si>
  <si>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</si>
  <si>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</si>
  <si>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</si>
  <si>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</si>
  <si>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</si>
  <si>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</si>
  <si>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</si>
  <si>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</si>
  <si>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</si>
  <si>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</si>
  <si>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</si>
  <si>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</si>
  <si>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</si>
  <si>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</si>
  <si>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CUST-0187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</si>
  <si>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</si>
  <si>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</si>
  <si>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</si>
  <si>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</si>
  <si>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</si>
  <si>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</si>
  <si>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</si>
  <si>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</si>
  <si>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</si>
  <si>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CUST-0099</t>
  </si>
  <si>
    <t>ORD-00844</t>
  </si>
  <si>
    <t>ORD-00845</t>
  </si>
  <si>
    <t>ORD-00846</t>
  </si>
  <si>
    <t>ORD-00847</t>
  </si>
  <si>
    <t>ORD-00848</t>
  </si>
  <si>
    <t>ORD-00849</t>
  </si>
  <si>
    <t>CUST-0115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</si>
  <si>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</si>
  <si>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</si>
  <si>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</si>
  <si>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</si>
  <si>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</si>
  <si>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</si>
  <si>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</si>
  <si>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</si>
  <si>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</si>
  <si>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</si>
  <si>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</si>
  <si>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</si>
  <si>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</si>
  <si>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</si>
  <si>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</si>
  <si>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</si>
  <si>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</si>
  <si>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</si>
  <si>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</si>
  <si>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</si>
  <si>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</si>
  <si>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</si>
  <si>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</si>
  <si>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</si>
  <si>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</si>
  <si>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</si>
  <si>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</si>
  <si>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</si>
  <si>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</si>
  <si>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</si>
  <si>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</si>
  <si>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</si>
  <si>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</si>
  <si>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</si>
  <si>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</si>
  <si>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</si>
  <si>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</si>
  <si>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</si>
  <si>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</si>
  <si>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</si>
  <si>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</si>
  <si>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</si>
  <si>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</si>
  <si>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</si>
  <si>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</si>
  <si>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</si>
  <si>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</si>
  <si>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</si>
  <si>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</si>
  <si>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</si>
  <si>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CUST-0080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</si>
  <si>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</si>
  <si>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</si>
  <si>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</si>
  <si>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</si>
  <si>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</si>
  <si>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</si>
  <si>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</si>
  <si>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</si>
  <si>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</si>
  <si>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</si>
  <si>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</si>
  <si>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</si>
  <si>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</si>
  <si>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</si>
  <si>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</si>
  <si>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</si>
  <si>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</si>
  <si>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</si>
  <si>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</si>
  <si>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</si>
  <si>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</si>
  <si>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</si>
  <si>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</si>
  <si>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</si>
  <si>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</si>
  <si>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</si>
  <si>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</si>
  <si>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</si>
  <si>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</si>
  <si>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</si>
  <si>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</si>
  <si>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</si>
  <si>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</si>
  <si>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</si>
  <si>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</si>
  <si>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</si>
  <si>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</si>
  <si>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</si>
  <si>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</si>
  <si>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</si>
  <si>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CUST-0298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</si>
  <si>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</si>
  <si>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</si>
  <si>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</si>
  <si>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</si>
  <si>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</si>
  <si>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</si>
  <si>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</si>
  <si>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</si>
  <si>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</si>
  <si>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</si>
  <si>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</si>
  <si>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</si>
  <si>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</si>
  <si>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</si>
  <si>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</si>
  <si>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</si>
  <si>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</si>
  <si>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</si>
  <si>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</si>
  <si>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</si>
  <si>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</si>
  <si>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</si>
  <si>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</si>
  <si>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</si>
  <si>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</si>
  <si>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</si>
  <si>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</si>
  <si>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CUST-0031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</si>
  <si>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</si>
  <si>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</si>
  <si>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</si>
  <si>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</si>
  <si>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</si>
  <si>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</si>
  <si>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</si>
  <si>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</si>
  <si>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</si>
  <si>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</si>
  <si>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</si>
  <si>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</si>
  <si>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</si>
  <si>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</si>
  <si>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</si>
  <si>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</si>
  <si>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</si>
  <si>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</si>
  <si>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</si>
  <si>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</si>
  <si>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</si>
  <si>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</si>
  <si>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</si>
  <si>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</si>
  <si>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</si>
  <si>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CUST-0212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</si>
  <si>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</si>
  <si>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</si>
  <si>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</si>
  <si>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</si>
  <si>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</si>
  <si>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</si>
  <si>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</si>
  <si>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</si>
  <si>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</si>
  <si>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</si>
  <si>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</si>
  <si>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</si>
  <si>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</si>
  <si>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</si>
  <si>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</si>
  <si>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</si>
  <si>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</si>
  <si>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</si>
  <si>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</si>
  <si>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</si>
  <si>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</si>
  <si>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</si>
  <si>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</si>
  <si>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</si>
  <si>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</si>
  <si>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</si>
  <si>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</si>
  <si>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</si>
  <si>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</si>
  <si>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</si>
  <si>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</si>
  <si>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</si>
  <si>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</si>
  <si>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</si>
  <si>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</si>
  <si>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</si>
  <si>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</si>
  <si>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</si>
  <si>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</si>
  <si>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</si>
  <si>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</si>
  <si>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</si>
  <si>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</si>
  <si>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</si>
  <si>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</si>
  <si>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</si>
  <si>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</si>
  <si>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</si>
  <si>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</si>
  <si>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</si>
  <si>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</si>
  <si>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</si>
  <si>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</si>
  <si>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</si>
  <si>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</si>
  <si>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</si>
  <si>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</si>
  <si>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</si>
  <si>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</si>
  <si>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</si>
  <si>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</si>
  <si>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</si>
  <si>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</si>
  <si>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</si>
  <si>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</si>
  <si>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</si>
  <si>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</si>
  <si>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</si>
  <si>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</si>
  <si>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</si>
  <si>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</si>
  <si>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</si>
  <si>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</si>
  <si>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</si>
  <si>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</si>
  <si>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</si>
  <si>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</si>
  <si>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</si>
  <si>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</si>
  <si>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</si>
  <si>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</si>
  <si>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</si>
  <si>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</si>
  <si>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</si>
  <si>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</si>
  <si>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</si>
  <si>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</si>
  <si>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</si>
  <si>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</si>
  <si>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</si>
  <si>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</si>
  <si>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</si>
  <si>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</si>
  <si>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</si>
  <si>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</si>
  <si>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</si>
  <si>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</si>
  <si>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</si>
  <si>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</si>
  <si>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</si>
  <si>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</si>
  <si>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</si>
  <si>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</si>
  <si>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</si>
  <si>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</si>
  <si>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</si>
  <si>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</si>
  <si>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</si>
  <si>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</si>
  <si>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</si>
  <si>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</si>
  <si>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</si>
  <si>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</si>
  <si>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</si>
  <si>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</si>
  <si>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</si>
  <si>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</si>
  <si>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</si>
  <si>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</si>
  <si>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</si>
  <si>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CUST-0268</t>
  </si>
  <si>
    <t>ORD-01112</t>
  </si>
  <si>
    <t>ORD-01113</t>
  </si>
  <si>
    <t>ORD-01114</t>
  </si>
  <si>
    <t>ORD-01115</t>
  </si>
  <si>
    <t>ORD-01116</t>
  </si>
  <si>
    <t>ORD-01117</t>
  </si>
  <si>
    <t>CUST-0166</t>
  </si>
  <si>
    <t>ORD-01118</t>
  </si>
  <si>
    <t>ORD-01119</t>
  </si>
  <si>
    <t>ORD-01120</t>
  </si>
  <si>
    <t>ORD-01121</t>
  </si>
  <si>
    <t>CUST-0225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</si>
  <si>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</si>
  <si>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</si>
  <si>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</si>
  <si>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</si>
  <si>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</si>
  <si>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</si>
  <si>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</si>
  <si>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</si>
  <si>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</si>
  <si>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</si>
  <si>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</si>
  <si>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</si>
  <si>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</si>
  <si>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</si>
  <si>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</si>
  <si>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</si>
  <si>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</si>
  <si>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</si>
  <si>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</si>
  <si>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</si>
  <si>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</si>
  <si>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</si>
  <si>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</si>
  <si>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</si>
  <si>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</si>
  <si>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</si>
  <si>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</si>
  <si>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</si>
  <si>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</si>
  <si>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</si>
  <si>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</si>
  <si>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</si>
  <si>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</si>
  <si>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</si>
  <si>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</si>
  <si>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</si>
  <si>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</si>
  <si>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</si>
  <si>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</si>
  <si>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</si>
  <si>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</si>
  <si>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</si>
  <si>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</si>
  <si>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</si>
  <si>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</si>
  <si>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</si>
  <si>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</si>
  <si>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</si>
  <si>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</si>
  <si>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</si>
  <si>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</si>
  <si>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</si>
  <si>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</si>
  <si>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</si>
  <si>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</si>
  <si>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</si>
  <si>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</si>
  <si>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</si>
  <si>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</si>
  <si>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</si>
  <si>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</si>
  <si>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</si>
  <si>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</si>
  <si>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</si>
  <si>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</si>
  <si>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</si>
  <si>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</si>
  <si>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</si>
  <si>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</si>
  <si>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</si>
  <si>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</si>
  <si>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</si>
  <si>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CUST-0235</t>
  </si>
  <si>
    <t>ORD-01194</t>
  </si>
  <si>
    <t>ORD-01195</t>
  </si>
  <si>
    <t>ORD-01196</t>
  </si>
  <si>
    <t>ORD-01197</t>
  </si>
  <si>
    <t>CUST-0070</t>
  </si>
  <si>
    <t>ORD-01198</t>
  </si>
  <si>
    <t>ORD-01199</t>
  </si>
  <si>
    <t>ORD-01200</t>
  </si>
  <si>
    <t>Row Labels</t>
  </si>
  <si>
    <t>Grand Total</t>
  </si>
  <si>
    <t>Sum of Sales</t>
  </si>
  <si>
    <t>Sum of Profit</t>
  </si>
  <si>
    <t>Sum of Quantity</t>
  </si>
  <si>
    <t>North — Sales ₹175154.8, Profit ₹38840.81, Qty 891</t>
  </si>
  <si>
    <t>South — Sales ₹165151.75, Profit ₹36502.14, Qty 911</t>
  </si>
  <si>
    <t>West — Sales ₹184593.95, Profit ₹39389.31, Qty 942</t>
  </si>
  <si>
    <r>
      <rPr>
        <b/>
        <sz val="11"/>
        <color theme="1"/>
        <rFont val="Calibri"/>
        <family val="2"/>
        <scheme val="minor"/>
      </rPr>
      <t>East</t>
    </r>
    <r>
      <rPr>
        <sz val="11"/>
        <color theme="1"/>
        <rFont val="Calibri"/>
        <family val="2"/>
        <scheme val="minor"/>
      </rPr>
      <t xml:space="preserve"> — Sales -138981.75, Profit ₹28998.51, Qty 863</t>
    </r>
  </si>
  <si>
    <t>Profit Margin</t>
  </si>
  <si>
    <t>1. West region has highest proft and sales</t>
  </si>
  <si>
    <t>2. East is the lowest performing region in all three metrics</t>
  </si>
  <si>
    <t>3. However north actually has the highest profit Margin</t>
  </si>
  <si>
    <t>Insights</t>
  </si>
  <si>
    <t>Column Labels</t>
  </si>
  <si>
    <t>Total Sum of Sales</t>
  </si>
  <si>
    <t>Total Sum of Profit</t>
  </si>
  <si>
    <t>1.Electroniss has the hightest sales and profit among the other categories</t>
  </si>
  <si>
    <t>2.whereas Stationey category has the least sales and profit</t>
  </si>
  <si>
    <t>3. West region leads with the over all sales and profit,largely supported by Electronics and Funiture</t>
  </si>
  <si>
    <t>4.East region has the lowest overall sales and profit performance</t>
  </si>
  <si>
    <t>(All)</t>
  </si>
  <si>
    <t>1.Laptop has the hightest sales and profit where as Notebook has the lowest sales and profit</t>
  </si>
  <si>
    <t>2.Backpack hass the highest profit Margin and mouse has the lowest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</si>
</sst>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1" applyNumberFormat="1" applyFont="1"/>
    <xf numFmtId="10" fontId="0" fillId="0" borderId="0" xfId="1" applyNumberFormat="1" applyFont="1"/>
    <xf numFmtId="0" fontId="2" fillId="0" borderId="0" xfId="0" applyFont="1"/>
    <xf numFmtId="0" fontId="2" fillId="2" borderId="0" xfId="0" applyFont="1" applyFill="1"/>
  </cellXfs>
  <cellStyles count="2">
    <cellStyle name="Normal" xfId="0" builtinId="0"/>
    <cellStyle name="Percent" xfId="1" builtinId="5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mC" refreshedDate="46276.487045949078" createdVersion="6" refreshedVersion="6" minRefreshableVersion="3" recordCount="1200" xr:uid="{AD53CC02-317C-4F50-A3B5-FA398570EDC5}">
  <cacheSource type="worksheet">
    <worksheetSource name="ecommerce_sales"/>
  </cacheSource>
  <cacheFields count="10">
    <cacheField name="Order_ID" numFmtId="0">
      <sharedItems/>
    </cacheField>
    <cacheField name="Order_Date" numFmtId="22">
      <sharedItems containsSemiMixedTypes="0" containsNonDate="0" containsDate="1" containsString="0" minDate="2025-01-01T00:00:00" maxDate="2026-01-01T00:00:00"/>
    </cacheField>
    <cacheField name="Customer_ID" numFmtId="0">
      <sharedItems/>
    </cacheField>
    <cacheField name="Product" numFmtId="0">
      <sharedItems count="10">
        <s v="Keyboard"/>
        <s v="Office Chair"/>
        <s v="Desk"/>
        <s v="Laptop"/>
        <s v="Smartphone"/>
        <s v="Headphones"/>
        <s v="Monitor"/>
        <s v="Notebook"/>
        <s v="Backpack"/>
        <s v="Mouse"/>
      </sharedItems>
    </cacheField>
    <cacheField name="Category" numFmtId="0">
      <sharedItems count="4">
        <s v="Accessories"/>
        <s v="Furniture"/>
        <s v="Electronics"/>
        <s v="Stationery"/>
      </sharedItems>
    </cacheField>
    <cacheField name="Region" numFmtId="0">
      <sharedItems count="4">
        <s v="North"/>
        <s v="South"/>
        <s v="West"/>
        <s v="East"/>
      </sharedItems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2"/>
    </cacheField>
    <cacheField name="Sales" numFmtId="0">
      <sharedItems containsSemiMixedTypes="0" containsString="0" containsNumber="1" minValue="6.4" maxValue="3250" count="198">
        <n v="176"/>
        <n v="110"/>
        <n v="540"/>
        <n v="209"/>
        <n v="1755"/>
        <n v="1800"/>
        <n v="2375"/>
        <n v="152"/>
        <n v="324"/>
        <n v="720"/>
        <n v="360"/>
        <n v="1020"/>
        <n v="2470"/>
        <n v="1275"/>
        <n v="816"/>
        <n v="247.5"/>
        <n v="2000"/>
        <n v="148.5"/>
        <n v="475"/>
        <n v="30.4"/>
        <n v="912"/>
        <n v="1080"/>
        <n v="42.75"/>
        <n v="99"/>
        <n v="1170"/>
        <n v="180"/>
        <n v="135"/>
        <n v="617.5"/>
        <n v="486"/>
        <n v="27"/>
        <n v="24"/>
        <n v="684"/>
        <n v="935"/>
        <n v="432"/>
        <n v="450"/>
        <n v="2500"/>
        <n v="836"/>
        <n v="2340"/>
        <n v="213.75"/>
        <n v="198"/>
        <n v="500"/>
        <n v="594"/>
        <n v="1700"/>
        <n v="900"/>
        <n v="54"/>
        <n v="15.2"/>
        <n v="261.25"/>
        <n v="7.2"/>
        <n v="34"/>
        <n v="748"/>
        <n v="220"/>
        <n v="40"/>
        <n v="40.5"/>
        <n v="2600"/>
        <n v="3087.5"/>
        <n v="1100"/>
        <n v="216"/>
        <n v="400"/>
        <n v="16"/>
        <n v="960"/>
        <n v="1852.5"/>
        <n v="275"/>
        <n v="768"/>
        <n v="561"/>
        <n v="408"/>
        <n v="57"/>
        <n v="49.5"/>
        <n v="1425"/>
        <n v="612"/>
        <n v="25.6"/>
        <n v="162"/>
        <n v="2925"/>
        <n v="120"/>
        <n v="342"/>
        <n v="2762.5"/>
        <n v="85.5"/>
        <n v="240"/>
        <n v="1040"/>
        <n v="104.5"/>
        <n v="272"/>
        <n v="374"/>
        <n v="144"/>
        <n v="288"/>
        <n v="114"/>
        <n v="1105"/>
        <n v="51"/>
        <n v="81"/>
        <n v="7.6"/>
        <n v="72"/>
        <n v="225"/>
        <n v="30"/>
        <n v="1657.5"/>
        <n v="20.399999999999999"/>
        <n v="36"/>
        <n v="585"/>
        <n v="1200"/>
        <n v="76.5"/>
        <n v="204"/>
        <n v="27.2"/>
        <n v="306"/>
        <n v="1350"/>
        <n v="88"/>
        <n v="76"/>
        <n v="32"/>
        <n v="142.5"/>
        <n v="19.2"/>
        <n v="90"/>
        <n v="950"/>
        <n v="380"/>
        <n v="25.5"/>
        <n v="648"/>
        <n v="160"/>
        <n v="55"/>
        <n v="340"/>
        <n v="38"/>
        <n v="627"/>
        <n v="132"/>
        <n v="1000"/>
        <n v="127.5"/>
        <n v="456"/>
        <n v="8"/>
        <n v="2210"/>
        <n v="191.25"/>
        <n v="480"/>
        <n v="418"/>
        <n v="576"/>
        <n v="121.5"/>
        <n v="320"/>
        <n v="128"/>
        <n v="304"/>
        <n v="12.8"/>
        <n v="140.25"/>
        <n v="21.6"/>
        <n v="792"/>
        <n v="228"/>
        <n v="22.8"/>
        <n v="171"/>
        <n v="187"/>
        <n v="880"/>
        <n v="68"/>
        <n v="990"/>
        <n v="850"/>
        <n v="233.75"/>
        <n v="855"/>
        <n v="1900"/>
        <n v="192"/>
        <n v="396"/>
        <n v="2250"/>
        <n v="114.75"/>
        <n v="660"/>
        <n v="136"/>
        <n v="440"/>
        <n v="810"/>
        <n v="28.5"/>
        <n v="150"/>
        <n v="384"/>
        <n v="52.25"/>
        <n v="513"/>
        <n v="44"/>
        <n v="13.6"/>
        <n v="352"/>
        <n v="520"/>
        <n v="1300"/>
        <n v="153"/>
        <n v="108"/>
        <n v="1045"/>
        <n v="864"/>
        <n v="60"/>
        <n v="38.25"/>
        <n v="552.5"/>
        <n v="1950"/>
        <n v="80"/>
        <n v="45"/>
        <n v="96"/>
        <n v="128.25"/>
        <n v="1500"/>
        <n v="650"/>
        <n v="2080"/>
        <n v="6.4"/>
        <n v="1235"/>
        <n v="64"/>
        <n v="6.8"/>
        <n v="202.5"/>
        <n v="459"/>
        <n v="165"/>
        <n v="93.5"/>
        <n v="46.75"/>
        <n v="156.75"/>
        <n v="28.8"/>
        <n v="3250"/>
        <n v="1140"/>
        <n v="102"/>
        <n v="48"/>
        <n v="425"/>
        <n v="1560"/>
        <n v="800"/>
        <n v="2125"/>
        <n v="14.4"/>
      </sharedItems>
    </cacheField>
    <cacheField name="Profit" numFmtId="0">
      <sharedItems containsSemiMixedTypes="0" containsString="0" containsNumber="1" minValue="-17.82" maxValue="1224.10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-00001"/>
    <d v="2025-01-01T00:00:00"/>
    <s v="CUST-0189"/>
    <x v="0"/>
    <x v="0"/>
    <x v="0"/>
    <n v="4"/>
    <n v="0.2"/>
    <x v="0"/>
    <n v="7.39"/>
  </r>
  <r>
    <s v="ORD-00002"/>
    <d v="2025-01-01T00:00:00"/>
    <s v="CUST-0088"/>
    <x v="0"/>
    <x v="0"/>
    <x v="0"/>
    <n v="2"/>
    <n v="0"/>
    <x v="1"/>
    <n v="40.520000000000003"/>
  </r>
  <r>
    <s v="ORD-00003"/>
    <d v="2025-01-01T00:00:00"/>
    <s v="CUST-0294"/>
    <x v="1"/>
    <x v="1"/>
    <x v="1"/>
    <n v="3"/>
    <n v="0"/>
    <x v="2"/>
    <n v="100.45"/>
  </r>
  <r>
    <s v="ORD-00004"/>
    <d v="2025-01-01T00:00:00"/>
    <s v="CUST-0236"/>
    <x v="2"/>
    <x v="1"/>
    <x v="0"/>
    <n v="1"/>
    <n v="0.05"/>
    <x v="3"/>
    <n v="49.51"/>
  </r>
  <r>
    <s v="ORD-00005"/>
    <d v="2025-01-02T00:00:00"/>
    <s v="CUST-0188"/>
    <x v="3"/>
    <x v="2"/>
    <x v="2"/>
    <n v="3"/>
    <n v="0.1"/>
    <x v="4"/>
    <n v="491.6"/>
  </r>
  <r>
    <s v="ORD-00006"/>
    <d v="2025-01-02T00:00:00"/>
    <s v="CUST-0131"/>
    <x v="4"/>
    <x v="2"/>
    <x v="0"/>
    <n v="4"/>
    <n v="0.1"/>
    <x v="5"/>
    <n v="323.02999999999997"/>
  </r>
  <r>
    <s v="ORD-00007"/>
    <d v="2025-01-02T00:00:00"/>
    <s v="CUST-0089"/>
    <x v="4"/>
    <x v="2"/>
    <x v="2"/>
    <n v="5"/>
    <n v="0.05"/>
    <x v="6"/>
    <n v="818.37"/>
  </r>
  <r>
    <s v="ORD-00008"/>
    <d v="2025-01-03T00:00:00"/>
    <s v="CUST-0092"/>
    <x v="5"/>
    <x v="2"/>
    <x v="3"/>
    <n v="2"/>
    <n v="0.05"/>
    <x v="7"/>
    <n v="49.67"/>
  </r>
  <r>
    <s v="ORD-00009"/>
    <d v="2025-01-03T00:00:00"/>
    <s v="CUST-0206"/>
    <x v="0"/>
    <x v="0"/>
    <x v="0"/>
    <n v="4"/>
    <n v="0.05"/>
    <x v="3"/>
    <n v="71.09"/>
  </r>
  <r>
    <s v="ORD-00010"/>
    <d v="2025-01-03T00:00:00"/>
    <s v="CUST-0054"/>
    <x v="1"/>
    <x v="1"/>
    <x v="1"/>
    <n v="2"/>
    <n v="0.1"/>
    <x v="8"/>
    <n v="78.36"/>
  </r>
  <r>
    <s v="ORD-00011"/>
    <d v="2025-01-04T00:00:00"/>
    <s v="CUST-0162"/>
    <x v="1"/>
    <x v="1"/>
    <x v="1"/>
    <n v="5"/>
    <n v="0.2"/>
    <x v="9"/>
    <n v="22.48"/>
  </r>
  <r>
    <s v="ORD-00012"/>
    <d v="2025-01-04T00:00:00"/>
    <s v="CUST-0208"/>
    <x v="1"/>
    <x v="1"/>
    <x v="0"/>
    <n v="4"/>
    <n v="0"/>
    <x v="9"/>
    <n v="226.75"/>
  </r>
  <r>
    <s v="ORD-00013"/>
    <d v="2025-01-04T00:00:00"/>
    <s v="CUST-0188"/>
    <x v="5"/>
    <x v="2"/>
    <x v="2"/>
    <n v="5"/>
    <n v="0.1"/>
    <x v="10"/>
    <n v="34.78"/>
  </r>
  <r>
    <s v="ORD-00014"/>
    <d v="2025-01-04T00:00:00"/>
    <s v="CUST-0009"/>
    <x v="6"/>
    <x v="2"/>
    <x v="2"/>
    <n v="5"/>
    <n v="0.15"/>
    <x v="11"/>
    <n v="258.11"/>
  </r>
  <r>
    <s v="ORD-00015"/>
    <d v="2025-01-05T00:00:00"/>
    <s v="CUST-0081"/>
    <x v="3"/>
    <x v="2"/>
    <x v="2"/>
    <n v="4"/>
    <n v="0.05"/>
    <x v="12"/>
    <n v="850.68"/>
  </r>
  <r>
    <s v="ORD-00016"/>
    <d v="2025-01-05T00:00:00"/>
    <s v="CUST-0231"/>
    <x v="4"/>
    <x v="2"/>
    <x v="1"/>
    <n v="3"/>
    <n v="0.15"/>
    <x v="13"/>
    <n v="322.79000000000002"/>
  </r>
  <r>
    <s v="ORD-00017"/>
    <d v="2025-01-05T00:00:00"/>
    <s v="CUST-0033"/>
    <x v="6"/>
    <x v="2"/>
    <x v="2"/>
    <n v="4"/>
    <n v="0.15"/>
    <x v="14"/>
    <n v="101.13"/>
  </r>
  <r>
    <s v="ORD-00018"/>
    <d v="2025-01-06T00:00:00"/>
    <s v="CUST-0035"/>
    <x v="0"/>
    <x v="0"/>
    <x v="0"/>
    <n v="5"/>
    <n v="0.1"/>
    <x v="15"/>
    <n v="41.93"/>
  </r>
  <r>
    <s v="ORD-00019"/>
    <d v="2025-01-06T00:00:00"/>
    <s v="CUST-0005"/>
    <x v="4"/>
    <x v="2"/>
    <x v="1"/>
    <n v="5"/>
    <n v="0.2"/>
    <x v="16"/>
    <n v="25.54"/>
  </r>
  <r>
    <s v="ORD-00020"/>
    <d v="2025-01-06T00:00:00"/>
    <s v="CUST-0042"/>
    <x v="0"/>
    <x v="0"/>
    <x v="2"/>
    <n v="3"/>
    <n v="0.1"/>
    <x v="17"/>
    <n v="32.090000000000003"/>
  </r>
  <r>
    <s v="ORD-00021"/>
    <d v="2025-01-07T00:00:00"/>
    <s v="CUST-0222"/>
    <x v="4"/>
    <x v="2"/>
    <x v="0"/>
    <n v="1"/>
    <n v="0.05"/>
    <x v="18"/>
    <n v="114.14"/>
  </r>
  <r>
    <s v="ORD-00022"/>
    <d v="2025-01-07T00:00:00"/>
    <s v="CUST-0013"/>
    <x v="0"/>
    <x v="0"/>
    <x v="2"/>
    <n v="5"/>
    <n v="0.1"/>
    <x v="15"/>
    <n v="65.83"/>
  </r>
  <r>
    <s v="ORD-00023"/>
    <d v="2025-01-07T00:00:00"/>
    <s v="CUST-0170"/>
    <x v="0"/>
    <x v="0"/>
    <x v="0"/>
    <n v="3"/>
    <n v="0.1"/>
    <x v="17"/>
    <n v="17.14"/>
  </r>
  <r>
    <s v="ORD-00024"/>
    <d v="2025-01-07T00:00:00"/>
    <s v="CUST-0044"/>
    <x v="6"/>
    <x v="2"/>
    <x v="2"/>
    <n v="5"/>
    <n v="0.15"/>
    <x v="11"/>
    <n v="83.12"/>
  </r>
  <r>
    <s v="ORD-00025"/>
    <d v="2025-01-08T00:00:00"/>
    <s v="CUST-0283"/>
    <x v="7"/>
    <x v="3"/>
    <x v="1"/>
    <n v="4"/>
    <n v="0.05"/>
    <x v="19"/>
    <n v="4.76"/>
  </r>
  <r>
    <s v="ORD-00026"/>
    <d v="2025-01-08T00:00:00"/>
    <s v="CUST-0198"/>
    <x v="6"/>
    <x v="2"/>
    <x v="2"/>
    <n v="4"/>
    <n v="0.05"/>
    <x v="20"/>
    <n v="258.27999999999997"/>
  </r>
  <r>
    <s v="ORD-00027"/>
    <d v="2025-01-08T00:00:00"/>
    <s v="CUST-0152"/>
    <x v="6"/>
    <x v="2"/>
    <x v="3"/>
    <n v="5"/>
    <n v="0.1"/>
    <x v="21"/>
    <n v="271.33999999999997"/>
  </r>
  <r>
    <s v="ORD-00028"/>
    <d v="2025-01-09T00:00:00"/>
    <s v="CUST-0052"/>
    <x v="8"/>
    <x v="0"/>
    <x v="2"/>
    <n v="1"/>
    <n v="0.05"/>
    <x v="22"/>
    <n v="14.27"/>
  </r>
  <r>
    <s v="ORD-00029"/>
    <d v="2025-01-09T00:00:00"/>
    <s v="CUST-0081"/>
    <x v="0"/>
    <x v="0"/>
    <x v="3"/>
    <n v="2"/>
    <n v="0.1"/>
    <x v="23"/>
    <n v="27.54"/>
  </r>
  <r>
    <s v="ORD-00030"/>
    <d v="2025-01-09T00:00:00"/>
    <s v="CUST-0224"/>
    <x v="3"/>
    <x v="2"/>
    <x v="0"/>
    <n v="2"/>
    <n v="0.1"/>
    <x v="24"/>
    <n v="350.62"/>
  </r>
  <r>
    <s v="ORD-00031"/>
    <d v="2025-01-10T00:00:00"/>
    <s v="CUST-0218"/>
    <x v="3"/>
    <x v="2"/>
    <x v="2"/>
    <n v="3"/>
    <n v="0.1"/>
    <x v="4"/>
    <n v="338.94"/>
  </r>
  <r>
    <s v="ORD-00032"/>
    <d v="2025-01-10T00:00:00"/>
    <s v="CUST-0255"/>
    <x v="8"/>
    <x v="0"/>
    <x v="1"/>
    <n v="4"/>
    <n v="0"/>
    <x v="25"/>
    <n v="55.09"/>
  </r>
  <r>
    <s v="ORD-00033"/>
    <d v="2025-01-10T00:00:00"/>
    <s v="CUST-0240"/>
    <x v="9"/>
    <x v="0"/>
    <x v="2"/>
    <n v="5"/>
    <n v="0.1"/>
    <x v="26"/>
    <n v="22.99"/>
  </r>
  <r>
    <s v="ORD-00034"/>
    <d v="2025-01-11T00:00:00"/>
    <s v="CUST-0259"/>
    <x v="3"/>
    <x v="2"/>
    <x v="2"/>
    <n v="1"/>
    <n v="0.05"/>
    <x v="27"/>
    <n v="190.25"/>
  </r>
  <r>
    <s v="ORD-00035"/>
    <d v="2025-01-11T00:00:00"/>
    <s v="CUST-0148"/>
    <x v="1"/>
    <x v="1"/>
    <x v="2"/>
    <n v="3"/>
    <n v="0.1"/>
    <x v="28"/>
    <n v="63.77"/>
  </r>
  <r>
    <s v="ORD-00036"/>
    <d v="2025-01-11T00:00:00"/>
    <s v="CUST-0039"/>
    <x v="0"/>
    <x v="0"/>
    <x v="1"/>
    <n v="4"/>
    <n v="0.2"/>
    <x v="0"/>
    <n v="22.11"/>
  </r>
  <r>
    <s v="ORD-00037"/>
    <d v="2025-01-11T00:00:00"/>
    <s v="CUST-0151"/>
    <x v="9"/>
    <x v="0"/>
    <x v="3"/>
    <n v="1"/>
    <n v="0.1"/>
    <x v="29"/>
    <n v="3.99"/>
  </r>
  <r>
    <s v="ORD-00038"/>
    <d v="2025-01-12T00:00:00"/>
    <s v="CUST-0112"/>
    <x v="7"/>
    <x v="3"/>
    <x v="0"/>
    <n v="3"/>
    <n v="0"/>
    <x v="30"/>
    <n v="8.2799999999999994"/>
  </r>
  <r>
    <s v="ORD-00039"/>
    <d v="2025-01-12T00:00:00"/>
    <s v="CUST-0254"/>
    <x v="1"/>
    <x v="1"/>
    <x v="2"/>
    <n v="4"/>
    <n v="0.05"/>
    <x v="31"/>
    <n v="94.14"/>
  </r>
  <r>
    <s v="ORD-00040"/>
    <d v="2025-01-12T00:00:00"/>
    <s v="CUST-0233"/>
    <x v="2"/>
    <x v="1"/>
    <x v="3"/>
    <n v="5"/>
    <n v="0.15"/>
    <x v="32"/>
    <n v="211.48"/>
  </r>
  <r>
    <s v="ORD-00041"/>
    <d v="2025-01-13T00:00:00"/>
    <s v="CUST-0161"/>
    <x v="4"/>
    <x v="2"/>
    <x v="2"/>
    <n v="3"/>
    <n v="0.15"/>
    <x v="13"/>
    <n v="223.65"/>
  </r>
  <r>
    <s v="ORD-00042"/>
    <d v="2025-01-13T00:00:00"/>
    <s v="CUST-0104"/>
    <x v="1"/>
    <x v="1"/>
    <x v="2"/>
    <n v="3"/>
    <n v="0.2"/>
    <x v="33"/>
    <n v="12.38"/>
  </r>
  <r>
    <s v="ORD-00043"/>
    <d v="2025-01-13T00:00:00"/>
    <s v="CUST-0194"/>
    <x v="4"/>
    <x v="2"/>
    <x v="1"/>
    <n v="1"/>
    <n v="0.1"/>
    <x v="34"/>
    <n v="139.49"/>
  </r>
  <r>
    <s v="ORD-00044"/>
    <d v="2025-01-14T00:00:00"/>
    <s v="CUST-0289"/>
    <x v="4"/>
    <x v="2"/>
    <x v="1"/>
    <n v="5"/>
    <n v="0"/>
    <x v="35"/>
    <n v="593.91"/>
  </r>
  <r>
    <s v="ORD-00045"/>
    <d v="2025-01-14T00:00:00"/>
    <s v="CUST-0195"/>
    <x v="2"/>
    <x v="1"/>
    <x v="0"/>
    <n v="4"/>
    <n v="0.05"/>
    <x v="36"/>
    <n v="159.43"/>
  </r>
  <r>
    <s v="ORD-00046"/>
    <d v="2025-01-14T00:00:00"/>
    <s v="CUST-0022"/>
    <x v="3"/>
    <x v="2"/>
    <x v="1"/>
    <n v="4"/>
    <n v="0.1"/>
    <x v="37"/>
    <n v="397.11"/>
  </r>
  <r>
    <s v="ORD-00047"/>
    <d v="2025-01-14T00:00:00"/>
    <s v="CUST-0027"/>
    <x v="8"/>
    <x v="0"/>
    <x v="1"/>
    <n v="5"/>
    <n v="0.05"/>
    <x v="38"/>
    <n v="33.479999999999997"/>
  </r>
  <r>
    <s v="ORD-00048"/>
    <d v="2025-01-15T00:00:00"/>
    <s v="CUST-0147"/>
    <x v="2"/>
    <x v="1"/>
    <x v="2"/>
    <n v="1"/>
    <n v="0.1"/>
    <x v="39"/>
    <n v="39.93"/>
  </r>
  <r>
    <s v="ORD-00049"/>
    <d v="2025-01-15T00:00:00"/>
    <s v="CUST-0158"/>
    <x v="4"/>
    <x v="2"/>
    <x v="0"/>
    <n v="1"/>
    <n v="0"/>
    <x v="40"/>
    <n v="90.54"/>
  </r>
  <r>
    <s v="ORD-00050"/>
    <d v="2025-01-15T00:00:00"/>
    <s v="CUST-0181"/>
    <x v="2"/>
    <x v="1"/>
    <x v="3"/>
    <n v="3"/>
    <n v="0.1"/>
    <x v="41"/>
    <n v="58.99"/>
  </r>
  <r>
    <s v="ORD-00051"/>
    <d v="2025-01-16T00:00:00"/>
    <s v="CUST-0161"/>
    <x v="4"/>
    <x v="2"/>
    <x v="2"/>
    <n v="4"/>
    <n v="0.15"/>
    <x v="42"/>
    <n v="342.22"/>
  </r>
  <r>
    <s v="ORD-00052"/>
    <d v="2025-01-16T00:00:00"/>
    <s v="CUST-0058"/>
    <x v="4"/>
    <x v="2"/>
    <x v="3"/>
    <n v="2"/>
    <n v="0.1"/>
    <x v="43"/>
    <n v="92.77"/>
  </r>
  <r>
    <s v="ORD-00053"/>
    <d v="2025-01-16T00:00:00"/>
    <s v="CUST-0127"/>
    <x v="9"/>
    <x v="0"/>
    <x v="3"/>
    <n v="2"/>
    <n v="0.1"/>
    <x v="44"/>
    <n v="4.92"/>
  </r>
  <r>
    <s v="ORD-00054"/>
    <d v="2025-01-17T00:00:00"/>
    <s v="CUST-0299"/>
    <x v="7"/>
    <x v="3"/>
    <x v="1"/>
    <n v="2"/>
    <n v="0.05"/>
    <x v="45"/>
    <n v="2.56"/>
  </r>
  <r>
    <s v="ORD-00055"/>
    <d v="2025-01-17T00:00:00"/>
    <s v="CUST-0013"/>
    <x v="0"/>
    <x v="0"/>
    <x v="2"/>
    <n v="5"/>
    <n v="0.05"/>
    <x v="46"/>
    <n v="67.66"/>
  </r>
  <r>
    <s v="ORD-00056"/>
    <d v="2025-01-17T00:00:00"/>
    <s v="CUST-0264"/>
    <x v="7"/>
    <x v="3"/>
    <x v="2"/>
    <n v="1"/>
    <n v="0.1"/>
    <x v="47"/>
    <n v="1.93"/>
  </r>
  <r>
    <s v="ORD-00057"/>
    <d v="2025-01-18T00:00:00"/>
    <s v="CUST-0051"/>
    <x v="4"/>
    <x v="2"/>
    <x v="0"/>
    <n v="4"/>
    <n v="0.1"/>
    <x v="5"/>
    <n v="384.61"/>
  </r>
  <r>
    <s v="ORD-00058"/>
    <d v="2025-01-18T00:00:00"/>
    <s v="CUST-0180"/>
    <x v="7"/>
    <x v="3"/>
    <x v="1"/>
    <n v="5"/>
    <n v="0.15"/>
    <x v="48"/>
    <n v="2.3199999999999998"/>
  </r>
  <r>
    <s v="ORD-00059"/>
    <d v="2025-01-18T00:00:00"/>
    <s v="CUST-0053"/>
    <x v="8"/>
    <x v="0"/>
    <x v="2"/>
    <n v="3"/>
    <n v="0"/>
    <x v="26"/>
    <n v="37.200000000000003"/>
  </r>
  <r>
    <s v="ORD-00060"/>
    <d v="2025-01-18T00:00:00"/>
    <s v="CUST-0047"/>
    <x v="2"/>
    <x v="1"/>
    <x v="3"/>
    <n v="4"/>
    <n v="0.15"/>
    <x v="49"/>
    <n v="168.19"/>
  </r>
  <r>
    <s v="ORD-00061"/>
    <d v="2025-01-19T00:00:00"/>
    <s v="CUST-0106"/>
    <x v="0"/>
    <x v="0"/>
    <x v="1"/>
    <n v="4"/>
    <n v="0"/>
    <x v="50"/>
    <n v="40.94"/>
  </r>
  <r>
    <s v="ORD-00062"/>
    <d v="2025-01-19T00:00:00"/>
    <s v="CUST-0058"/>
    <x v="4"/>
    <x v="2"/>
    <x v="3"/>
    <n v="1"/>
    <n v="0.05"/>
    <x v="18"/>
    <n v="121.65"/>
  </r>
  <r>
    <s v="ORD-00063"/>
    <d v="2025-01-19T00:00:00"/>
    <s v="CUST-0127"/>
    <x v="7"/>
    <x v="3"/>
    <x v="0"/>
    <n v="5"/>
    <n v="0"/>
    <x v="51"/>
    <n v="14.55"/>
  </r>
  <r>
    <s v="ORD-00064"/>
    <d v="2025-01-20T00:00:00"/>
    <s v="CUST-0290"/>
    <x v="2"/>
    <x v="1"/>
    <x v="2"/>
    <n v="1"/>
    <n v="0"/>
    <x v="50"/>
    <n v="76.72"/>
  </r>
  <r>
    <s v="ORD-00065"/>
    <d v="2025-01-20T00:00:00"/>
    <s v="CUST-0272"/>
    <x v="8"/>
    <x v="0"/>
    <x v="0"/>
    <n v="1"/>
    <n v="0.1"/>
    <x v="52"/>
    <n v="10.08"/>
  </r>
  <r>
    <s v="ORD-00066"/>
    <d v="2025-01-20T00:00:00"/>
    <s v="CUST-0076"/>
    <x v="0"/>
    <x v="0"/>
    <x v="1"/>
    <n v="5"/>
    <n v="0.1"/>
    <x v="15"/>
    <n v="53.92"/>
  </r>
  <r>
    <s v="ORD-00067"/>
    <d v="2025-01-21T00:00:00"/>
    <s v="CUST-0220"/>
    <x v="4"/>
    <x v="2"/>
    <x v="0"/>
    <n v="5"/>
    <n v="0"/>
    <x v="35"/>
    <n v="779.06"/>
  </r>
  <r>
    <s v="ORD-00068"/>
    <d v="2025-01-21T00:00:00"/>
    <s v="CUST-0039"/>
    <x v="3"/>
    <x v="2"/>
    <x v="2"/>
    <n v="4"/>
    <n v="0"/>
    <x v="53"/>
    <n v="979.08"/>
  </r>
  <r>
    <s v="ORD-00069"/>
    <d v="2025-01-21T00:00:00"/>
    <s v="CUST-0100"/>
    <x v="3"/>
    <x v="2"/>
    <x v="1"/>
    <n v="5"/>
    <n v="0.05"/>
    <x v="54"/>
    <n v="672.2"/>
  </r>
  <r>
    <s v="ORD-00070"/>
    <d v="2025-01-21T00:00:00"/>
    <s v="CUST-0257"/>
    <x v="1"/>
    <x v="1"/>
    <x v="2"/>
    <n v="2"/>
    <n v="0.1"/>
    <x v="8"/>
    <n v="64.569999999999993"/>
  </r>
  <r>
    <s v="ORD-00071"/>
    <d v="2025-01-22T00:00:00"/>
    <s v="CUST-0247"/>
    <x v="2"/>
    <x v="1"/>
    <x v="1"/>
    <n v="5"/>
    <n v="0"/>
    <x v="55"/>
    <n v="402.47"/>
  </r>
  <r>
    <s v="ORD-00072"/>
    <d v="2025-01-22T00:00:00"/>
    <s v="CUST-0152"/>
    <x v="3"/>
    <x v="2"/>
    <x v="2"/>
    <n v="4"/>
    <n v="0.1"/>
    <x v="37"/>
    <n v="239.08"/>
  </r>
  <r>
    <s v="ORD-00073"/>
    <d v="2025-01-22T00:00:00"/>
    <s v="CUST-0179"/>
    <x v="5"/>
    <x v="2"/>
    <x v="3"/>
    <n v="3"/>
    <n v="0.1"/>
    <x v="56"/>
    <n v="45.2"/>
  </r>
  <r>
    <s v="ORD-00074"/>
    <d v="2025-01-23T00:00:00"/>
    <s v="CUST-0043"/>
    <x v="2"/>
    <x v="1"/>
    <x v="2"/>
    <n v="4"/>
    <n v="0.05"/>
    <x v="36"/>
    <n v="121.23"/>
  </r>
  <r>
    <s v="ORD-00075"/>
    <d v="2025-01-23T00:00:00"/>
    <s v="CUST-0090"/>
    <x v="5"/>
    <x v="2"/>
    <x v="2"/>
    <n v="5"/>
    <n v="0"/>
    <x v="57"/>
    <n v="97.36"/>
  </r>
  <r>
    <s v="ORD-00076"/>
    <d v="2025-01-23T00:00:00"/>
    <s v="CUST-0105"/>
    <x v="7"/>
    <x v="3"/>
    <x v="3"/>
    <n v="2"/>
    <n v="0"/>
    <x v="58"/>
    <n v="3.47"/>
  </r>
  <r>
    <s v="ORD-00077"/>
    <d v="2025-01-24T00:00:00"/>
    <s v="CUST-0217"/>
    <x v="1"/>
    <x v="1"/>
    <x v="0"/>
    <n v="2"/>
    <n v="0.1"/>
    <x v="8"/>
    <n v="55.52"/>
  </r>
  <r>
    <s v="ORD-00078"/>
    <d v="2025-01-24T00:00:00"/>
    <s v="CUST-0192"/>
    <x v="6"/>
    <x v="2"/>
    <x v="3"/>
    <n v="4"/>
    <n v="0"/>
    <x v="59"/>
    <n v="220.68"/>
  </r>
  <r>
    <s v="ORD-00079"/>
    <d v="2025-01-24T00:00:00"/>
    <s v="CUST-0096"/>
    <x v="3"/>
    <x v="2"/>
    <x v="2"/>
    <n v="3"/>
    <n v="0.05"/>
    <x v="60"/>
    <n v="498.41"/>
  </r>
  <r>
    <s v="ORD-00080"/>
    <d v="2025-01-24T00:00:00"/>
    <s v="CUST-0279"/>
    <x v="0"/>
    <x v="0"/>
    <x v="0"/>
    <n v="5"/>
    <n v="0"/>
    <x v="61"/>
    <n v="67.11"/>
  </r>
  <r>
    <s v="ORD-00081"/>
    <d v="2025-01-25T00:00:00"/>
    <s v="CUST-0084"/>
    <x v="4"/>
    <x v="2"/>
    <x v="2"/>
    <n v="1"/>
    <n v="0.05"/>
    <x v="18"/>
    <n v="111.57"/>
  </r>
  <r>
    <s v="ORD-00082"/>
    <d v="2025-01-25T00:00:00"/>
    <s v="CUST-0233"/>
    <x v="6"/>
    <x v="2"/>
    <x v="3"/>
    <n v="5"/>
    <n v="0.15"/>
    <x v="11"/>
    <n v="182.59"/>
  </r>
  <r>
    <s v="ORD-00083"/>
    <d v="2025-01-25T00:00:00"/>
    <s v="CUST-0144"/>
    <x v="6"/>
    <x v="2"/>
    <x v="0"/>
    <n v="4"/>
    <n v="0.2"/>
    <x v="62"/>
    <n v="-9.7200000000000006"/>
  </r>
  <r>
    <s v="ORD-00084"/>
    <d v="2025-01-26T00:00:00"/>
    <s v="CUST-0053"/>
    <x v="2"/>
    <x v="1"/>
    <x v="3"/>
    <n v="3"/>
    <n v="0.1"/>
    <x v="41"/>
    <n v="111.71"/>
  </r>
  <r>
    <s v="ORD-00085"/>
    <d v="2025-01-26T00:00:00"/>
    <s v="CUST-0223"/>
    <x v="6"/>
    <x v="2"/>
    <x v="1"/>
    <n v="5"/>
    <n v="0.2"/>
    <x v="59"/>
    <n v="-17.82"/>
  </r>
  <r>
    <s v="ORD-00086"/>
    <d v="2025-01-26T00:00:00"/>
    <s v="CUST-0146"/>
    <x v="2"/>
    <x v="1"/>
    <x v="3"/>
    <n v="3"/>
    <n v="0.15"/>
    <x v="63"/>
    <n v="105.48"/>
  </r>
  <r>
    <s v="ORD-00087"/>
    <d v="2025-01-27T00:00:00"/>
    <s v="CUST-0230"/>
    <x v="6"/>
    <x v="2"/>
    <x v="3"/>
    <n v="2"/>
    <n v="0.15"/>
    <x v="64"/>
    <n v="27.18"/>
  </r>
  <r>
    <s v="ORD-00088"/>
    <d v="2025-01-27T00:00:00"/>
    <s v="CUST-0194"/>
    <x v="9"/>
    <x v="0"/>
    <x v="0"/>
    <n v="2"/>
    <n v="0.05"/>
    <x v="65"/>
    <n v="9.1"/>
  </r>
  <r>
    <s v="ORD-00089"/>
    <d v="2025-01-27T00:00:00"/>
    <s v="CUST-0145"/>
    <x v="2"/>
    <x v="1"/>
    <x v="3"/>
    <n v="3"/>
    <n v="0.1"/>
    <x v="41"/>
    <n v="70.87"/>
  </r>
  <r>
    <s v="ORD-00090"/>
    <d v="2025-01-28T00:00:00"/>
    <s v="CUST-0252"/>
    <x v="0"/>
    <x v="0"/>
    <x v="3"/>
    <n v="1"/>
    <n v="0.1"/>
    <x v="66"/>
    <n v="11.55"/>
  </r>
  <r>
    <s v="ORD-00091"/>
    <d v="2025-01-28T00:00:00"/>
    <s v="CUST-0202"/>
    <x v="4"/>
    <x v="2"/>
    <x v="1"/>
    <n v="5"/>
    <n v="0.05"/>
    <x v="6"/>
    <n v="472.46"/>
  </r>
  <r>
    <s v="ORD-00092"/>
    <d v="2025-01-28T00:00:00"/>
    <s v="CUST-0126"/>
    <x v="4"/>
    <x v="2"/>
    <x v="1"/>
    <n v="3"/>
    <n v="0.05"/>
    <x v="67"/>
    <n v="373.44"/>
  </r>
  <r>
    <s v="ORD-00093"/>
    <d v="2025-01-28T00:00:00"/>
    <s v="CUST-0001"/>
    <x v="1"/>
    <x v="1"/>
    <x v="3"/>
    <n v="4"/>
    <n v="0.15"/>
    <x v="68"/>
    <n v="47.12"/>
  </r>
  <r>
    <s v="ORD-00094"/>
    <d v="2025-01-29T00:00:00"/>
    <s v="CUST-0117"/>
    <x v="6"/>
    <x v="2"/>
    <x v="1"/>
    <n v="4"/>
    <n v="0.05"/>
    <x v="20"/>
    <n v="150.03"/>
  </r>
  <r>
    <s v="ORD-00095"/>
    <d v="2025-01-29T00:00:00"/>
    <s v="CUST-0149"/>
    <x v="7"/>
    <x v="3"/>
    <x v="2"/>
    <n v="4"/>
    <n v="0.2"/>
    <x v="69"/>
    <n v="2.2000000000000002"/>
  </r>
  <r>
    <s v="ORD-00096"/>
    <d v="2025-01-29T00:00:00"/>
    <s v="CUST-0227"/>
    <x v="8"/>
    <x v="0"/>
    <x v="3"/>
    <n v="5"/>
    <n v="0.2"/>
    <x v="25"/>
    <n v="37.18"/>
  </r>
  <r>
    <s v="ORD-00097"/>
    <d v="2025-01-30T00:00:00"/>
    <s v="CUST-0014"/>
    <x v="1"/>
    <x v="1"/>
    <x v="3"/>
    <n v="1"/>
    <n v="0.1"/>
    <x v="70"/>
    <n v="27.74"/>
  </r>
  <r>
    <s v="ORD-00098"/>
    <d v="2025-01-30T00:00:00"/>
    <s v="CUST-0012"/>
    <x v="3"/>
    <x v="2"/>
    <x v="1"/>
    <n v="5"/>
    <n v="0.1"/>
    <x v="71"/>
    <n v="660.27"/>
  </r>
  <r>
    <s v="ORD-00099"/>
    <d v="2025-01-30T00:00:00"/>
    <s v="CUST-0122"/>
    <x v="9"/>
    <x v="0"/>
    <x v="2"/>
    <n v="4"/>
    <n v="0"/>
    <x v="72"/>
    <n v="37.54"/>
  </r>
  <r>
    <s v="ORD-00100"/>
    <d v="2025-01-31T00:00:00"/>
    <s v="CUST-0028"/>
    <x v="1"/>
    <x v="1"/>
    <x v="2"/>
    <n v="2"/>
    <n v="0.05"/>
    <x v="73"/>
    <n v="102.28"/>
  </r>
  <r>
    <s v="ORD-00101"/>
    <d v="2025-01-31T00:00:00"/>
    <s v="CUST-0145"/>
    <x v="2"/>
    <x v="1"/>
    <x v="0"/>
    <n v="1"/>
    <n v="0.05"/>
    <x v="3"/>
    <n v="52.66"/>
  </r>
  <r>
    <s v="ORD-00102"/>
    <d v="2025-01-31T00:00:00"/>
    <s v="CUST-0046"/>
    <x v="3"/>
    <x v="2"/>
    <x v="3"/>
    <n v="5"/>
    <n v="0.15"/>
    <x v="74"/>
    <n v="302.42"/>
  </r>
  <r>
    <s v="ORD-00103"/>
    <d v="2025-01-31T00:00:00"/>
    <s v="CUST-0010"/>
    <x v="8"/>
    <x v="0"/>
    <x v="2"/>
    <n v="2"/>
    <n v="0.05"/>
    <x v="75"/>
    <n v="19.239999999999998"/>
  </r>
  <r>
    <s v="ORD-00104"/>
    <d v="2025-02-01T00:00:00"/>
    <s v="CUST-0289"/>
    <x v="5"/>
    <x v="2"/>
    <x v="1"/>
    <n v="3"/>
    <n v="0"/>
    <x v="76"/>
    <n v="89.93"/>
  </r>
  <r>
    <s v="ORD-00105"/>
    <d v="2025-02-01T00:00:00"/>
    <s v="CUST-0282"/>
    <x v="3"/>
    <x v="2"/>
    <x v="3"/>
    <n v="2"/>
    <n v="0.2"/>
    <x v="77"/>
    <n v="194.89"/>
  </r>
  <r>
    <s v="ORD-00106"/>
    <d v="2025-02-01T00:00:00"/>
    <s v="CUST-0098"/>
    <x v="6"/>
    <x v="2"/>
    <x v="0"/>
    <n v="3"/>
    <n v="0.15"/>
    <x v="68"/>
    <n v="44.88"/>
  </r>
  <r>
    <s v="ORD-00107"/>
    <d v="2025-02-02T00:00:00"/>
    <s v="CUST-0197"/>
    <x v="4"/>
    <x v="2"/>
    <x v="3"/>
    <n v="1"/>
    <n v="0"/>
    <x v="40"/>
    <n v="182.46"/>
  </r>
  <r>
    <s v="ORD-00108"/>
    <d v="2025-02-02T00:00:00"/>
    <s v="CUST-0165"/>
    <x v="2"/>
    <x v="1"/>
    <x v="1"/>
    <n v="3"/>
    <n v="0.1"/>
    <x v="41"/>
    <n v="83.29"/>
  </r>
  <r>
    <s v="ORD-00109"/>
    <d v="2025-02-02T00:00:00"/>
    <s v="CUST-0001"/>
    <x v="7"/>
    <x v="3"/>
    <x v="3"/>
    <n v="3"/>
    <n v="0"/>
    <x v="30"/>
    <n v="6.96"/>
  </r>
  <r>
    <s v="ORD-00110"/>
    <d v="2025-02-03T00:00:00"/>
    <s v="CUST-0095"/>
    <x v="1"/>
    <x v="1"/>
    <x v="2"/>
    <n v="1"/>
    <n v="0.1"/>
    <x v="70"/>
    <n v="28.15"/>
  </r>
  <r>
    <s v="ORD-00111"/>
    <d v="2025-02-03T00:00:00"/>
    <s v="CUST-0259"/>
    <x v="0"/>
    <x v="0"/>
    <x v="3"/>
    <n v="2"/>
    <n v="0.05"/>
    <x v="78"/>
    <n v="25.82"/>
  </r>
  <r>
    <s v="ORD-00112"/>
    <d v="2025-02-03T00:00:00"/>
    <s v="CUST-0222"/>
    <x v="5"/>
    <x v="2"/>
    <x v="3"/>
    <n v="4"/>
    <n v="0.15"/>
    <x v="79"/>
    <n v="11.65"/>
  </r>
  <r>
    <s v="ORD-00113"/>
    <d v="2025-02-04T00:00:00"/>
    <s v="CUST-0207"/>
    <x v="6"/>
    <x v="2"/>
    <x v="0"/>
    <n v="1"/>
    <n v="0"/>
    <x v="76"/>
    <n v="89.82"/>
  </r>
  <r>
    <s v="ORD-00114"/>
    <d v="2025-02-04T00:00:00"/>
    <s v="CUST-0192"/>
    <x v="2"/>
    <x v="1"/>
    <x v="2"/>
    <n v="2"/>
    <n v="0.15"/>
    <x v="80"/>
    <n v="21.72"/>
  </r>
  <r>
    <s v="ORD-00115"/>
    <d v="2025-02-04T00:00:00"/>
    <s v="CUST-0249"/>
    <x v="5"/>
    <x v="2"/>
    <x v="1"/>
    <n v="2"/>
    <n v="0.1"/>
    <x v="81"/>
    <n v="32.25"/>
  </r>
  <r>
    <s v="ORD-00116"/>
    <d v="2025-02-04T00:00:00"/>
    <s v="CUST-0081"/>
    <x v="3"/>
    <x v="2"/>
    <x v="0"/>
    <n v="4"/>
    <n v="0.05"/>
    <x v="12"/>
    <n v="585.73"/>
  </r>
  <r>
    <s v="ORD-00117"/>
    <d v="2025-02-05T00:00:00"/>
    <s v="CUST-0069"/>
    <x v="1"/>
    <x v="1"/>
    <x v="1"/>
    <n v="2"/>
    <n v="0.2"/>
    <x v="82"/>
    <n v="29.37"/>
  </r>
  <r>
    <s v="ORD-00118"/>
    <d v="2025-02-05T00:00:00"/>
    <s v="CUST-0043"/>
    <x v="8"/>
    <x v="0"/>
    <x v="2"/>
    <n v="5"/>
    <n v="0.05"/>
    <x v="38"/>
    <n v="64.84"/>
  </r>
  <r>
    <s v="ORD-00119"/>
    <d v="2025-02-05T00:00:00"/>
    <s v="CUST-0008"/>
    <x v="4"/>
    <x v="2"/>
    <x v="2"/>
    <n v="1"/>
    <n v="0.05"/>
    <x v="18"/>
    <n v="106.52"/>
  </r>
  <r>
    <s v="ORD-00120"/>
    <d v="2025-02-06T00:00:00"/>
    <s v="CUST-0195"/>
    <x v="9"/>
    <x v="0"/>
    <x v="3"/>
    <n v="4"/>
    <n v="0.05"/>
    <x v="83"/>
    <n v="18.079999999999998"/>
  </r>
  <r>
    <s v="ORD-00121"/>
    <d v="2025-02-06T00:00:00"/>
    <s v="CUST-0005"/>
    <x v="5"/>
    <x v="2"/>
    <x v="1"/>
    <n v="5"/>
    <n v="0"/>
    <x v="57"/>
    <n v="148.72999999999999"/>
  </r>
  <r>
    <s v="ORD-00122"/>
    <d v="2025-02-06T00:00:00"/>
    <s v="CUST-0133"/>
    <x v="7"/>
    <x v="3"/>
    <x v="0"/>
    <n v="5"/>
    <n v="0"/>
    <x v="51"/>
    <n v="10.81"/>
  </r>
  <r>
    <s v="ORD-00123"/>
    <d v="2025-02-07T00:00:00"/>
    <s v="CUST-0073"/>
    <x v="7"/>
    <x v="3"/>
    <x v="1"/>
    <n v="2"/>
    <n v="0"/>
    <x v="58"/>
    <n v="5.0199999999999996"/>
  </r>
  <r>
    <s v="ORD-00124"/>
    <d v="2025-02-07T00:00:00"/>
    <s v="CUST-0107"/>
    <x v="6"/>
    <x v="2"/>
    <x v="3"/>
    <n v="1"/>
    <n v="0.1"/>
    <x v="56"/>
    <n v="42.64"/>
  </r>
  <r>
    <s v="ORD-00125"/>
    <d v="2025-02-07T00:00:00"/>
    <s v="CUST-0253"/>
    <x v="3"/>
    <x v="2"/>
    <x v="2"/>
    <n v="2"/>
    <n v="0.15"/>
    <x v="84"/>
    <n v="277.02999999999997"/>
  </r>
  <r>
    <s v="ORD-00126"/>
    <d v="2025-02-07T00:00:00"/>
    <s v="CUST-0154"/>
    <x v="9"/>
    <x v="0"/>
    <x v="1"/>
    <n v="2"/>
    <n v="0.15"/>
    <x v="85"/>
    <n v="7.42"/>
  </r>
  <r>
    <s v="ORD-00127"/>
    <d v="2025-02-08T00:00:00"/>
    <s v="CUST-0238"/>
    <x v="9"/>
    <x v="0"/>
    <x v="3"/>
    <n v="3"/>
    <n v="0.1"/>
    <x v="86"/>
    <n v="9.09"/>
  </r>
  <r>
    <s v="ORD-00128"/>
    <d v="2025-02-08T00:00:00"/>
    <s v="CUST-0192"/>
    <x v="5"/>
    <x v="2"/>
    <x v="0"/>
    <n v="2"/>
    <n v="0.05"/>
    <x v="7"/>
    <n v="40.090000000000003"/>
  </r>
  <r>
    <s v="ORD-00129"/>
    <d v="2025-02-08T00:00:00"/>
    <s v="CUST-0273"/>
    <x v="0"/>
    <x v="0"/>
    <x v="3"/>
    <n v="5"/>
    <n v="0"/>
    <x v="61"/>
    <n v="73.48"/>
  </r>
  <r>
    <s v="ORD-00130"/>
    <d v="2025-02-09T00:00:00"/>
    <s v="CUST-0013"/>
    <x v="8"/>
    <x v="0"/>
    <x v="2"/>
    <n v="2"/>
    <n v="0.1"/>
    <x v="86"/>
    <n v="21"/>
  </r>
  <r>
    <s v="ORD-00131"/>
    <d v="2025-02-09T00:00:00"/>
    <s v="CUST-0146"/>
    <x v="6"/>
    <x v="2"/>
    <x v="3"/>
    <n v="4"/>
    <n v="0.05"/>
    <x v="20"/>
    <n v="192.23"/>
  </r>
  <r>
    <s v="ORD-00132"/>
    <d v="2025-02-09T00:00:00"/>
    <s v="CUST-0236"/>
    <x v="1"/>
    <x v="1"/>
    <x v="3"/>
    <n v="2"/>
    <n v="0.1"/>
    <x v="8"/>
    <n v="58.57"/>
  </r>
  <r>
    <s v="ORD-00133"/>
    <d v="2025-02-10T00:00:00"/>
    <s v="CUST-0226"/>
    <x v="7"/>
    <x v="3"/>
    <x v="3"/>
    <n v="1"/>
    <n v="0.05"/>
    <x v="87"/>
    <n v="1.2"/>
  </r>
  <r>
    <s v="ORD-00134"/>
    <d v="2025-02-10T00:00:00"/>
    <s v="CUST-0289"/>
    <x v="9"/>
    <x v="0"/>
    <x v="0"/>
    <n v="3"/>
    <n v="0.2"/>
    <x v="88"/>
    <n v="5.3"/>
  </r>
  <r>
    <s v="ORD-00135"/>
    <d v="2025-02-10T00:00:00"/>
    <s v="CUST-0004"/>
    <x v="8"/>
    <x v="0"/>
    <x v="1"/>
    <n v="5"/>
    <n v="0"/>
    <x v="89"/>
    <n v="74.430000000000007"/>
  </r>
  <r>
    <s v="ORD-00136"/>
    <d v="2025-02-10T00:00:00"/>
    <s v="CUST-0040"/>
    <x v="9"/>
    <x v="0"/>
    <x v="0"/>
    <n v="1"/>
    <n v="0"/>
    <x v="90"/>
    <n v="8.25"/>
  </r>
  <r>
    <s v="ORD-00137"/>
    <d v="2025-02-11T00:00:00"/>
    <s v="CUST-0134"/>
    <x v="1"/>
    <x v="1"/>
    <x v="1"/>
    <n v="2"/>
    <n v="0.1"/>
    <x v="8"/>
    <n v="34.75"/>
  </r>
  <r>
    <s v="ORD-00138"/>
    <d v="2025-02-11T00:00:00"/>
    <s v="CUST-0203"/>
    <x v="3"/>
    <x v="2"/>
    <x v="2"/>
    <n v="3"/>
    <n v="0.15"/>
    <x v="91"/>
    <n v="168.3"/>
  </r>
  <r>
    <s v="ORD-00139"/>
    <d v="2025-02-11T00:00:00"/>
    <s v="CUST-0118"/>
    <x v="7"/>
    <x v="3"/>
    <x v="2"/>
    <n v="3"/>
    <n v="0.15"/>
    <x v="92"/>
    <n v="4.54"/>
  </r>
  <r>
    <s v="ORD-00140"/>
    <d v="2025-02-12T00:00:00"/>
    <s v="CUST-0047"/>
    <x v="4"/>
    <x v="2"/>
    <x v="0"/>
    <n v="4"/>
    <n v="0.1"/>
    <x v="5"/>
    <n v="463.04"/>
  </r>
  <r>
    <s v="ORD-00141"/>
    <d v="2025-02-12T00:00:00"/>
    <s v="CUST-0259"/>
    <x v="7"/>
    <x v="3"/>
    <x v="0"/>
    <n v="5"/>
    <n v="0.1"/>
    <x v="93"/>
    <n v="3.74"/>
  </r>
  <r>
    <s v="ORD-00142"/>
    <d v="2025-02-12T00:00:00"/>
    <s v="CUST-0138"/>
    <x v="8"/>
    <x v="0"/>
    <x v="2"/>
    <n v="2"/>
    <n v="0.05"/>
    <x v="75"/>
    <n v="19.829999999999998"/>
  </r>
  <r>
    <s v="ORD-00143"/>
    <d v="2025-02-13T00:00:00"/>
    <s v="CUST-0101"/>
    <x v="5"/>
    <x v="2"/>
    <x v="0"/>
    <n v="5"/>
    <n v="0.1"/>
    <x v="10"/>
    <n v="104.97"/>
  </r>
  <r>
    <s v="ORD-00144"/>
    <d v="2025-02-13T00:00:00"/>
    <s v="CUST-0094"/>
    <x v="3"/>
    <x v="2"/>
    <x v="3"/>
    <n v="1"/>
    <n v="0.1"/>
    <x v="94"/>
    <n v="120.7"/>
  </r>
  <r>
    <s v="ORD-00145"/>
    <d v="2025-02-13T00:00:00"/>
    <s v="CUST-0137"/>
    <x v="3"/>
    <x v="2"/>
    <x v="1"/>
    <n v="5"/>
    <n v="0.15"/>
    <x v="74"/>
    <n v="120.23"/>
  </r>
  <r>
    <s v="ORD-00146"/>
    <d v="2025-02-14T00:00:00"/>
    <s v="CUST-0060"/>
    <x v="4"/>
    <x v="2"/>
    <x v="2"/>
    <n v="3"/>
    <n v="0.2"/>
    <x v="95"/>
    <n v="53.52"/>
  </r>
  <r>
    <s v="ORD-00147"/>
    <d v="2025-02-14T00:00:00"/>
    <s v="CUST-0286"/>
    <x v="9"/>
    <x v="0"/>
    <x v="3"/>
    <n v="3"/>
    <n v="0.15"/>
    <x v="96"/>
    <n v="17.07"/>
  </r>
  <r>
    <s v="ORD-00148"/>
    <d v="2025-02-14T00:00:00"/>
    <s v="CUST-0062"/>
    <x v="2"/>
    <x v="1"/>
    <x v="2"/>
    <n v="5"/>
    <n v="0.15"/>
    <x v="32"/>
    <n v="106.66"/>
  </r>
  <r>
    <s v="ORD-00149"/>
    <d v="2025-02-14T00:00:00"/>
    <s v="CUST-0295"/>
    <x v="6"/>
    <x v="2"/>
    <x v="2"/>
    <n v="5"/>
    <n v="0.1"/>
    <x v="21"/>
    <n v="172.08"/>
  </r>
  <r>
    <s v="ORD-00150"/>
    <d v="2025-02-15T00:00:00"/>
    <s v="CUST-0143"/>
    <x v="4"/>
    <x v="2"/>
    <x v="0"/>
    <n v="5"/>
    <n v="0.05"/>
    <x v="6"/>
    <n v="451.2"/>
  </r>
  <r>
    <s v="ORD-00151"/>
    <d v="2025-02-15T00:00:00"/>
    <s v="CUST-0104"/>
    <x v="6"/>
    <x v="2"/>
    <x v="2"/>
    <n v="1"/>
    <n v="0.15"/>
    <x v="97"/>
    <n v="36.770000000000003"/>
  </r>
  <r>
    <s v="ORD-00152"/>
    <d v="2025-02-15T00:00:00"/>
    <s v="CUST-0179"/>
    <x v="4"/>
    <x v="2"/>
    <x v="2"/>
    <n v="3"/>
    <n v="0.05"/>
    <x v="67"/>
    <n v="395.16"/>
  </r>
  <r>
    <s v="ORD-00153"/>
    <d v="2025-02-16T00:00:00"/>
    <s v="CUST-0231"/>
    <x v="7"/>
    <x v="3"/>
    <x v="3"/>
    <n v="4"/>
    <n v="0.15"/>
    <x v="98"/>
    <n v="3.39"/>
  </r>
  <r>
    <s v="ORD-00154"/>
    <d v="2025-02-16T00:00:00"/>
    <s v="CUST-0289"/>
    <x v="1"/>
    <x v="1"/>
    <x v="1"/>
    <n v="5"/>
    <n v="0"/>
    <x v="43"/>
    <n v="285.89"/>
  </r>
  <r>
    <s v="ORD-00155"/>
    <d v="2025-02-16T00:00:00"/>
    <s v="CUST-0118"/>
    <x v="1"/>
    <x v="1"/>
    <x v="1"/>
    <n v="2"/>
    <n v="0.15"/>
    <x v="99"/>
    <n v="19.670000000000002"/>
  </r>
  <r>
    <s v="ORD-00156"/>
    <d v="2025-02-17T00:00:00"/>
    <s v="CUST-0157"/>
    <x v="1"/>
    <x v="1"/>
    <x v="2"/>
    <n v="5"/>
    <n v="0"/>
    <x v="43"/>
    <n v="270.49"/>
  </r>
  <r>
    <s v="ORD-00157"/>
    <d v="2025-02-17T00:00:00"/>
    <s v="CUST-0130"/>
    <x v="2"/>
    <x v="1"/>
    <x v="3"/>
    <n v="5"/>
    <n v="0"/>
    <x v="55"/>
    <n v="259.10000000000002"/>
  </r>
  <r>
    <s v="ORD-00158"/>
    <d v="2025-02-17T00:00:00"/>
    <s v="CUST-0283"/>
    <x v="4"/>
    <x v="2"/>
    <x v="0"/>
    <n v="3"/>
    <n v="0.1"/>
    <x v="100"/>
    <n v="205.15"/>
  </r>
  <r>
    <s v="ORD-00159"/>
    <d v="2025-02-17T00:00:00"/>
    <s v="CUST-0134"/>
    <x v="1"/>
    <x v="1"/>
    <x v="2"/>
    <n v="3"/>
    <n v="0.2"/>
    <x v="33"/>
    <n v="60.21"/>
  </r>
  <r>
    <s v="ORD-00160"/>
    <d v="2025-02-18T00:00:00"/>
    <s v="CUST-0141"/>
    <x v="0"/>
    <x v="0"/>
    <x v="2"/>
    <n v="2"/>
    <n v="0.2"/>
    <x v="101"/>
    <n v="16.43"/>
  </r>
  <r>
    <s v="ORD-00161"/>
    <d v="2025-02-18T00:00:00"/>
    <s v="CUST-0171"/>
    <x v="5"/>
    <x v="2"/>
    <x v="2"/>
    <n v="1"/>
    <n v="0.05"/>
    <x v="102"/>
    <n v="14.78"/>
  </r>
  <r>
    <s v="ORD-00162"/>
    <d v="2025-02-18T00:00:00"/>
    <s v="CUST-0127"/>
    <x v="1"/>
    <x v="1"/>
    <x v="1"/>
    <n v="4"/>
    <n v="0.15"/>
    <x v="68"/>
    <n v="162.28"/>
  </r>
  <r>
    <s v="ORD-00163"/>
    <d v="2025-02-19T00:00:00"/>
    <s v="CUST-0051"/>
    <x v="3"/>
    <x v="2"/>
    <x v="0"/>
    <n v="4"/>
    <n v="0.05"/>
    <x v="12"/>
    <n v="822.16"/>
  </r>
  <r>
    <s v="ORD-00164"/>
    <d v="2025-02-19T00:00:00"/>
    <s v="CUST-0101"/>
    <x v="9"/>
    <x v="0"/>
    <x v="0"/>
    <n v="1"/>
    <n v="0.2"/>
    <x v="30"/>
    <n v="2.69"/>
  </r>
  <r>
    <s v="ORD-00165"/>
    <d v="2025-02-19T00:00:00"/>
    <s v="CUST-0055"/>
    <x v="7"/>
    <x v="3"/>
    <x v="3"/>
    <n v="4"/>
    <n v="0"/>
    <x v="103"/>
    <n v="6.27"/>
  </r>
  <r>
    <s v="ORD-00166"/>
    <d v="2025-02-20T00:00:00"/>
    <s v="CUST-0202"/>
    <x v="9"/>
    <x v="0"/>
    <x v="2"/>
    <n v="5"/>
    <n v="0.05"/>
    <x v="104"/>
    <n v="27.17"/>
  </r>
  <r>
    <s v="ORD-00167"/>
    <d v="2025-02-20T00:00:00"/>
    <s v="CUST-0244"/>
    <x v="6"/>
    <x v="2"/>
    <x v="0"/>
    <n v="5"/>
    <n v="0.1"/>
    <x v="21"/>
    <n v="308.58"/>
  </r>
  <r>
    <s v="ORD-00168"/>
    <d v="2025-02-20T00:00:00"/>
    <s v="CUST-0017"/>
    <x v="7"/>
    <x v="3"/>
    <x v="2"/>
    <n v="3"/>
    <n v="0.2"/>
    <x v="105"/>
    <n v="2.08"/>
  </r>
  <r>
    <s v="ORD-00169"/>
    <d v="2025-02-21T00:00:00"/>
    <s v="CUST-0161"/>
    <x v="4"/>
    <x v="2"/>
    <x v="0"/>
    <n v="1"/>
    <n v="0.05"/>
    <x v="18"/>
    <n v="123.11"/>
  </r>
  <r>
    <s v="ORD-00170"/>
    <d v="2025-02-21T00:00:00"/>
    <s v="CUST-0084"/>
    <x v="8"/>
    <x v="0"/>
    <x v="0"/>
    <n v="2"/>
    <n v="0"/>
    <x v="106"/>
    <n v="22.26"/>
  </r>
  <r>
    <s v="ORD-00171"/>
    <d v="2025-02-21T00:00:00"/>
    <s v="CUST-0189"/>
    <x v="3"/>
    <x v="2"/>
    <x v="2"/>
    <n v="4"/>
    <n v="0.05"/>
    <x v="12"/>
    <n v="813.62"/>
  </r>
  <r>
    <s v="ORD-00172"/>
    <d v="2025-02-21T00:00:00"/>
    <s v="CUST-0211"/>
    <x v="3"/>
    <x v="2"/>
    <x v="1"/>
    <n v="1"/>
    <n v="0.05"/>
    <x v="27"/>
    <n v="162.85"/>
  </r>
  <r>
    <s v="ORD-00173"/>
    <d v="2025-02-22T00:00:00"/>
    <s v="CUST-0019"/>
    <x v="3"/>
    <x v="2"/>
    <x v="1"/>
    <n v="5"/>
    <n v="0.05"/>
    <x v="54"/>
    <n v="528.73"/>
  </r>
  <r>
    <s v="ORD-00174"/>
    <d v="2025-02-22T00:00:00"/>
    <s v="CUST-0113"/>
    <x v="3"/>
    <x v="2"/>
    <x v="1"/>
    <n v="3"/>
    <n v="0.05"/>
    <x v="60"/>
    <n v="438.99"/>
  </r>
  <r>
    <s v="ORD-00175"/>
    <d v="2025-02-22T00:00:00"/>
    <s v="CUST-0055"/>
    <x v="8"/>
    <x v="0"/>
    <x v="3"/>
    <n v="3"/>
    <n v="0"/>
    <x v="26"/>
    <n v="46.39"/>
  </r>
  <r>
    <s v="ORD-00176"/>
    <d v="2025-02-23T00:00:00"/>
    <s v="CUST-0087"/>
    <x v="4"/>
    <x v="2"/>
    <x v="3"/>
    <n v="2"/>
    <n v="0.05"/>
    <x v="107"/>
    <n v="201.2"/>
  </r>
  <r>
    <s v="ORD-00177"/>
    <d v="2025-02-23T00:00:00"/>
    <s v="CUST-0255"/>
    <x v="5"/>
    <x v="2"/>
    <x v="0"/>
    <n v="5"/>
    <n v="0.05"/>
    <x v="108"/>
    <n v="87.86"/>
  </r>
  <r>
    <s v="ORD-00178"/>
    <d v="2025-02-23T00:00:00"/>
    <s v="CUST-0097"/>
    <x v="9"/>
    <x v="0"/>
    <x v="2"/>
    <n v="1"/>
    <n v="0.15"/>
    <x v="109"/>
    <n v="5.83"/>
  </r>
  <r>
    <s v="ORD-00179"/>
    <d v="2025-02-24T00:00:00"/>
    <s v="CUST-0288"/>
    <x v="9"/>
    <x v="0"/>
    <x v="2"/>
    <n v="2"/>
    <n v="0.15"/>
    <x v="85"/>
    <n v="1.94"/>
  </r>
  <r>
    <s v="ORD-00180"/>
    <d v="2025-02-24T00:00:00"/>
    <s v="CUST-0223"/>
    <x v="1"/>
    <x v="1"/>
    <x v="3"/>
    <n v="4"/>
    <n v="0.1"/>
    <x v="110"/>
    <n v="172.08"/>
  </r>
  <r>
    <s v="ORD-00181"/>
    <d v="2025-02-24T00:00:00"/>
    <s v="CUST-0147"/>
    <x v="5"/>
    <x v="2"/>
    <x v="2"/>
    <n v="2"/>
    <n v="0"/>
    <x v="111"/>
    <n v="54.15"/>
  </r>
  <r>
    <s v="ORD-00182"/>
    <d v="2025-02-24T00:00:00"/>
    <s v="CUST-0197"/>
    <x v="4"/>
    <x v="2"/>
    <x v="2"/>
    <n v="4"/>
    <n v="0.1"/>
    <x v="5"/>
    <n v="278.42"/>
  </r>
  <r>
    <s v="ORD-00183"/>
    <d v="2025-02-25T00:00:00"/>
    <s v="CUST-0020"/>
    <x v="7"/>
    <x v="3"/>
    <x v="0"/>
    <n v="2"/>
    <n v="0.05"/>
    <x v="45"/>
    <n v="5.17"/>
  </r>
  <r>
    <s v="ORD-00184"/>
    <d v="2025-02-25T00:00:00"/>
    <s v="CUST-0280"/>
    <x v="2"/>
    <x v="1"/>
    <x v="0"/>
    <n v="1"/>
    <n v="0.05"/>
    <x v="3"/>
    <n v="59.64"/>
  </r>
  <r>
    <s v="ORD-00185"/>
    <d v="2025-02-25T00:00:00"/>
    <s v="CUST-0209"/>
    <x v="7"/>
    <x v="3"/>
    <x v="1"/>
    <n v="3"/>
    <n v="0.15"/>
    <x v="92"/>
    <n v="1.68"/>
  </r>
  <r>
    <s v="ORD-00186"/>
    <d v="2025-02-26T00:00:00"/>
    <s v="CUST-0237"/>
    <x v="4"/>
    <x v="2"/>
    <x v="0"/>
    <n v="1"/>
    <n v="0.05"/>
    <x v="18"/>
    <n v="110.84"/>
  </r>
  <r>
    <s v="ORD-00187"/>
    <d v="2025-02-26T00:00:00"/>
    <s v="CUST-0004"/>
    <x v="0"/>
    <x v="0"/>
    <x v="1"/>
    <n v="1"/>
    <n v="0"/>
    <x v="112"/>
    <n v="11.72"/>
  </r>
  <r>
    <s v="ORD-00188"/>
    <d v="2025-02-26T00:00:00"/>
    <s v="CUST-0075"/>
    <x v="7"/>
    <x v="3"/>
    <x v="1"/>
    <n v="5"/>
    <n v="0"/>
    <x v="51"/>
    <n v="13.02"/>
  </r>
  <r>
    <s v="ORD-00189"/>
    <d v="2025-02-27T00:00:00"/>
    <s v="CUST-0034"/>
    <x v="5"/>
    <x v="2"/>
    <x v="0"/>
    <n v="5"/>
    <n v="0.15"/>
    <x v="113"/>
    <n v="52.15"/>
  </r>
  <r>
    <s v="ORD-00190"/>
    <d v="2025-02-27T00:00:00"/>
    <s v="CUST-0117"/>
    <x v="2"/>
    <x v="1"/>
    <x v="1"/>
    <n v="1"/>
    <n v="0.05"/>
    <x v="3"/>
    <n v="40.909999999999997"/>
  </r>
  <r>
    <s v="ORD-00191"/>
    <d v="2025-02-27T00:00:00"/>
    <s v="CUST-0219"/>
    <x v="8"/>
    <x v="0"/>
    <x v="2"/>
    <n v="5"/>
    <n v="0.05"/>
    <x v="38"/>
    <n v="62.26"/>
  </r>
  <r>
    <s v="ORD-00192"/>
    <d v="2025-02-27T00:00:00"/>
    <s v="CUST-0173"/>
    <x v="5"/>
    <x v="2"/>
    <x v="0"/>
    <n v="4"/>
    <n v="0.1"/>
    <x v="82"/>
    <n v="57.97"/>
  </r>
  <r>
    <s v="ORD-00193"/>
    <d v="2025-02-28T00:00:00"/>
    <s v="CUST-0064"/>
    <x v="7"/>
    <x v="3"/>
    <x v="1"/>
    <n v="5"/>
    <n v="0.05"/>
    <x v="114"/>
    <n v="9.0500000000000007"/>
  </r>
  <r>
    <s v="ORD-00194"/>
    <d v="2025-02-28T00:00:00"/>
    <s v="CUST-0282"/>
    <x v="8"/>
    <x v="0"/>
    <x v="0"/>
    <n v="3"/>
    <n v="0"/>
    <x v="26"/>
    <n v="48.86"/>
  </r>
  <r>
    <s v="ORD-00195"/>
    <d v="2025-02-28T00:00:00"/>
    <s v="CUST-0113"/>
    <x v="2"/>
    <x v="1"/>
    <x v="3"/>
    <n v="3"/>
    <n v="0.05"/>
    <x v="115"/>
    <n v="170.85"/>
  </r>
  <r>
    <s v="ORD-00196"/>
    <d v="2025-03-01T00:00:00"/>
    <s v="CUST-0152"/>
    <x v="0"/>
    <x v="0"/>
    <x v="1"/>
    <n v="3"/>
    <n v="0.2"/>
    <x v="116"/>
    <n v="16.61"/>
  </r>
  <r>
    <s v="ORD-00197"/>
    <d v="2025-03-01T00:00:00"/>
    <s v="CUST-0239"/>
    <x v="8"/>
    <x v="0"/>
    <x v="2"/>
    <n v="5"/>
    <n v="0.05"/>
    <x v="38"/>
    <n v="62.1"/>
  </r>
  <r>
    <s v="ORD-00198"/>
    <d v="2025-03-01T00:00:00"/>
    <s v="CUST-0201"/>
    <x v="4"/>
    <x v="2"/>
    <x v="1"/>
    <n v="3"/>
    <n v="0.15"/>
    <x v="13"/>
    <n v="91.08"/>
  </r>
  <r>
    <s v="ORD-00199"/>
    <d v="2025-03-02T00:00:00"/>
    <s v="CUST-0129"/>
    <x v="5"/>
    <x v="2"/>
    <x v="0"/>
    <n v="5"/>
    <n v="0.05"/>
    <x v="108"/>
    <n v="103.88"/>
  </r>
  <r>
    <s v="ORD-00200"/>
    <d v="2025-03-02T00:00:00"/>
    <s v="CUST-0229"/>
    <x v="9"/>
    <x v="0"/>
    <x v="2"/>
    <n v="2"/>
    <n v="0.05"/>
    <x v="65"/>
    <n v="18.89"/>
  </r>
  <r>
    <s v="ORD-00201"/>
    <d v="2025-03-02T00:00:00"/>
    <s v="CUST-0017"/>
    <x v="4"/>
    <x v="2"/>
    <x v="1"/>
    <n v="2"/>
    <n v="0"/>
    <x v="117"/>
    <n v="317.08"/>
  </r>
  <r>
    <s v="ORD-00202"/>
    <d v="2025-03-03T00:00:00"/>
    <s v="CUST-0216"/>
    <x v="6"/>
    <x v="2"/>
    <x v="3"/>
    <n v="1"/>
    <n v="0"/>
    <x v="76"/>
    <n v="65.19"/>
  </r>
  <r>
    <s v="ORD-00203"/>
    <d v="2025-03-03T00:00:00"/>
    <s v="CUST-0198"/>
    <x v="9"/>
    <x v="0"/>
    <x v="2"/>
    <n v="5"/>
    <n v="0.15"/>
    <x v="118"/>
    <n v="12.78"/>
  </r>
  <r>
    <s v="ORD-00204"/>
    <d v="2025-03-03T00:00:00"/>
    <s v="CUST-0026"/>
    <x v="6"/>
    <x v="2"/>
    <x v="3"/>
    <n v="2"/>
    <n v="0.05"/>
    <x v="119"/>
    <n v="137.16"/>
  </r>
  <r>
    <s v="ORD-00205"/>
    <d v="2025-03-03T00:00:00"/>
    <s v="CUST-0250"/>
    <x v="7"/>
    <x v="3"/>
    <x v="3"/>
    <n v="1"/>
    <n v="0"/>
    <x v="120"/>
    <n v="2.13"/>
  </r>
  <r>
    <s v="ORD-00206"/>
    <d v="2025-03-04T00:00:00"/>
    <s v="CUST-0215"/>
    <x v="2"/>
    <x v="1"/>
    <x v="0"/>
    <n v="1"/>
    <n v="0"/>
    <x v="50"/>
    <n v="78.53"/>
  </r>
  <r>
    <s v="ORD-00207"/>
    <d v="2025-03-04T00:00:00"/>
    <s v="CUST-0103"/>
    <x v="5"/>
    <x v="2"/>
    <x v="0"/>
    <n v="4"/>
    <n v="0.15"/>
    <x v="79"/>
    <n v="53.18"/>
  </r>
  <r>
    <s v="ORD-00208"/>
    <d v="2025-03-04T00:00:00"/>
    <s v="CUST-0131"/>
    <x v="9"/>
    <x v="0"/>
    <x v="0"/>
    <n v="3"/>
    <n v="0.1"/>
    <x v="86"/>
    <n v="16.54"/>
  </r>
  <r>
    <s v="ORD-00209"/>
    <d v="2025-03-05T00:00:00"/>
    <s v="CUST-0015"/>
    <x v="9"/>
    <x v="0"/>
    <x v="2"/>
    <n v="2"/>
    <n v="0.1"/>
    <x v="44"/>
    <n v="16.02"/>
  </r>
  <r>
    <s v="ORD-00210"/>
    <d v="2025-03-05T00:00:00"/>
    <s v="CUST-0210"/>
    <x v="3"/>
    <x v="2"/>
    <x v="0"/>
    <n v="4"/>
    <n v="0.15"/>
    <x v="121"/>
    <n v="432.25"/>
  </r>
  <r>
    <s v="ORD-00211"/>
    <d v="2025-03-05T00:00:00"/>
    <s v="CUST-0170"/>
    <x v="7"/>
    <x v="3"/>
    <x v="1"/>
    <n v="4"/>
    <n v="0"/>
    <x v="103"/>
    <n v="12"/>
  </r>
  <r>
    <s v="ORD-00212"/>
    <d v="2025-03-06T00:00:00"/>
    <s v="CUST-0227"/>
    <x v="0"/>
    <x v="0"/>
    <x v="3"/>
    <n v="5"/>
    <n v="0.1"/>
    <x v="15"/>
    <n v="25.35"/>
  </r>
  <r>
    <s v="ORD-00213"/>
    <d v="2025-03-06T00:00:00"/>
    <s v="CUST-0245"/>
    <x v="0"/>
    <x v="0"/>
    <x v="2"/>
    <n v="4"/>
    <n v="0"/>
    <x v="50"/>
    <n v="79.7"/>
  </r>
  <r>
    <s v="ORD-00214"/>
    <d v="2025-03-06T00:00:00"/>
    <s v="CUST-0065"/>
    <x v="6"/>
    <x v="2"/>
    <x v="1"/>
    <n v="4"/>
    <n v="0.2"/>
    <x v="62"/>
    <n v="25.29"/>
  </r>
  <r>
    <s v="ORD-00215"/>
    <d v="2025-03-06T00:00:00"/>
    <s v="CUST-0146"/>
    <x v="3"/>
    <x v="2"/>
    <x v="1"/>
    <n v="3"/>
    <n v="0.05"/>
    <x v="60"/>
    <n v="527.66999999999996"/>
  </r>
  <r>
    <s v="ORD-00216"/>
    <d v="2025-03-07T00:00:00"/>
    <s v="CUST-0073"/>
    <x v="2"/>
    <x v="1"/>
    <x v="3"/>
    <n v="1"/>
    <n v="0.05"/>
    <x v="3"/>
    <n v="32.549999999999997"/>
  </r>
  <r>
    <s v="ORD-00217"/>
    <d v="2025-03-07T00:00:00"/>
    <s v="CUST-0293"/>
    <x v="3"/>
    <x v="2"/>
    <x v="0"/>
    <n v="1"/>
    <n v="0.1"/>
    <x v="94"/>
    <n v="153.63"/>
  </r>
  <r>
    <s v="ORD-00218"/>
    <d v="2025-03-07T00:00:00"/>
    <s v="CUST-0011"/>
    <x v="2"/>
    <x v="1"/>
    <x v="1"/>
    <n v="3"/>
    <n v="0.1"/>
    <x v="41"/>
    <n v="55.13"/>
  </r>
  <r>
    <s v="ORD-00219"/>
    <d v="2025-03-08T00:00:00"/>
    <s v="CUST-0072"/>
    <x v="5"/>
    <x v="2"/>
    <x v="2"/>
    <n v="1"/>
    <n v="0.1"/>
    <x v="88"/>
    <n v="21.36"/>
  </r>
  <r>
    <s v="ORD-00220"/>
    <d v="2025-03-08T00:00:00"/>
    <s v="CUST-0107"/>
    <x v="8"/>
    <x v="0"/>
    <x v="1"/>
    <n v="5"/>
    <n v="0.15"/>
    <x v="122"/>
    <n v="46.33"/>
  </r>
  <r>
    <s v="ORD-00221"/>
    <d v="2025-03-08T00:00:00"/>
    <s v="CUST-0262"/>
    <x v="6"/>
    <x v="2"/>
    <x v="0"/>
    <n v="2"/>
    <n v="0"/>
    <x v="123"/>
    <n v="90.5"/>
  </r>
  <r>
    <s v="ORD-00222"/>
    <d v="2025-03-09T00:00:00"/>
    <s v="CUST-0241"/>
    <x v="2"/>
    <x v="1"/>
    <x v="0"/>
    <n v="1"/>
    <n v="0.1"/>
    <x v="39"/>
    <n v="35.32"/>
  </r>
  <r>
    <s v="ORD-00223"/>
    <d v="2025-03-09T00:00:00"/>
    <s v="CUST-0216"/>
    <x v="7"/>
    <x v="3"/>
    <x v="3"/>
    <n v="3"/>
    <n v="0.15"/>
    <x v="92"/>
    <n v="2.1800000000000002"/>
  </r>
  <r>
    <s v="ORD-00224"/>
    <d v="2025-03-09T00:00:00"/>
    <s v="CUST-0068"/>
    <x v="4"/>
    <x v="2"/>
    <x v="1"/>
    <n v="5"/>
    <n v="0"/>
    <x v="35"/>
    <n v="681.51"/>
  </r>
  <r>
    <s v="ORD-00225"/>
    <d v="2025-03-10T00:00:00"/>
    <s v="CUST-0123"/>
    <x v="2"/>
    <x v="1"/>
    <x v="2"/>
    <n v="2"/>
    <n v="0.05"/>
    <x v="124"/>
    <n v="110.78"/>
  </r>
  <r>
    <s v="ORD-00226"/>
    <d v="2025-03-10T00:00:00"/>
    <s v="CUST-0009"/>
    <x v="6"/>
    <x v="2"/>
    <x v="3"/>
    <n v="3"/>
    <n v="0.2"/>
    <x v="125"/>
    <n v="5.45"/>
  </r>
  <r>
    <s v="ORD-00227"/>
    <d v="2025-03-10T00:00:00"/>
    <s v="CUST-0124"/>
    <x v="9"/>
    <x v="0"/>
    <x v="3"/>
    <n v="1"/>
    <n v="0.1"/>
    <x v="29"/>
    <n v="7.88"/>
  </r>
  <r>
    <s v="ORD-00228"/>
    <d v="2025-03-10T00:00:00"/>
    <s v="CUST-0037"/>
    <x v="8"/>
    <x v="0"/>
    <x v="2"/>
    <n v="3"/>
    <n v="0.1"/>
    <x v="126"/>
    <n v="24.41"/>
  </r>
  <r>
    <s v="ORD-00229"/>
    <d v="2025-03-11T00:00:00"/>
    <s v="CUST-0224"/>
    <x v="2"/>
    <x v="1"/>
    <x v="1"/>
    <n v="5"/>
    <n v="0.15"/>
    <x v="32"/>
    <n v="144.07"/>
  </r>
  <r>
    <s v="ORD-00230"/>
    <d v="2025-03-11T00:00:00"/>
    <s v="CUST-0040"/>
    <x v="4"/>
    <x v="2"/>
    <x v="3"/>
    <n v="2"/>
    <n v="0.1"/>
    <x v="43"/>
    <n v="147.58000000000001"/>
  </r>
  <r>
    <s v="ORD-00231"/>
    <d v="2025-03-11T00:00:00"/>
    <s v="CUST-0059"/>
    <x v="3"/>
    <x v="2"/>
    <x v="3"/>
    <n v="3"/>
    <n v="0.15"/>
    <x v="91"/>
    <n v="352.84"/>
  </r>
  <r>
    <s v="ORD-00232"/>
    <d v="2025-03-12T00:00:00"/>
    <s v="CUST-0170"/>
    <x v="6"/>
    <x v="2"/>
    <x v="2"/>
    <n v="5"/>
    <n v="0.15"/>
    <x v="11"/>
    <n v="108.61"/>
  </r>
  <r>
    <s v="ORD-00233"/>
    <d v="2025-03-12T00:00:00"/>
    <s v="CUST-0249"/>
    <x v="8"/>
    <x v="0"/>
    <x v="3"/>
    <n v="4"/>
    <n v="0"/>
    <x v="25"/>
    <n v="36.69"/>
  </r>
  <r>
    <s v="ORD-00234"/>
    <d v="2025-03-12T00:00:00"/>
    <s v="CUST-0158"/>
    <x v="0"/>
    <x v="0"/>
    <x v="3"/>
    <n v="2"/>
    <n v="0"/>
    <x v="1"/>
    <n v="34.43"/>
  </r>
  <r>
    <s v="ORD-00235"/>
    <d v="2025-03-13T00:00:00"/>
    <s v="CUST-0012"/>
    <x v="5"/>
    <x v="2"/>
    <x v="3"/>
    <n v="4"/>
    <n v="0.1"/>
    <x v="82"/>
    <n v="41.18"/>
  </r>
  <r>
    <s v="ORD-00236"/>
    <d v="2025-03-13T00:00:00"/>
    <s v="CUST-0017"/>
    <x v="5"/>
    <x v="2"/>
    <x v="2"/>
    <n v="5"/>
    <n v="0.1"/>
    <x v="10"/>
    <n v="33.51"/>
  </r>
  <r>
    <s v="ORD-00237"/>
    <d v="2025-03-13T00:00:00"/>
    <s v="CUST-0074"/>
    <x v="5"/>
    <x v="2"/>
    <x v="0"/>
    <n v="4"/>
    <n v="0"/>
    <x v="127"/>
    <n v="69.2"/>
  </r>
  <r>
    <s v="ORD-00238"/>
    <d v="2025-03-13T00:00:00"/>
    <s v="CUST-0278"/>
    <x v="5"/>
    <x v="2"/>
    <x v="2"/>
    <n v="4"/>
    <n v="0.1"/>
    <x v="82"/>
    <n v="29.95"/>
  </r>
  <r>
    <s v="ORD-00239"/>
    <d v="2025-03-14T00:00:00"/>
    <s v="CUST-0017"/>
    <x v="1"/>
    <x v="1"/>
    <x v="2"/>
    <n v="4"/>
    <n v="0"/>
    <x v="9"/>
    <n v="230.26"/>
  </r>
  <r>
    <s v="ORD-00240"/>
    <d v="2025-03-14T00:00:00"/>
    <s v="CUST-0120"/>
    <x v="8"/>
    <x v="0"/>
    <x v="3"/>
    <n v="1"/>
    <n v="0.1"/>
    <x v="52"/>
    <n v="9.49"/>
  </r>
  <r>
    <s v="ORD-00241"/>
    <d v="2025-03-14T00:00:00"/>
    <s v="CUST-0204"/>
    <x v="5"/>
    <x v="2"/>
    <x v="2"/>
    <n v="2"/>
    <n v="0.2"/>
    <x v="128"/>
    <n v="7.17"/>
  </r>
  <r>
    <s v="ORD-00242"/>
    <d v="2025-03-15T00:00:00"/>
    <s v="CUST-0033"/>
    <x v="4"/>
    <x v="2"/>
    <x v="1"/>
    <n v="4"/>
    <n v="0.15"/>
    <x v="42"/>
    <n v="450.17"/>
  </r>
  <r>
    <s v="ORD-00243"/>
    <d v="2025-03-15T00:00:00"/>
    <s v="CUST-0226"/>
    <x v="4"/>
    <x v="2"/>
    <x v="0"/>
    <n v="3"/>
    <n v="0.1"/>
    <x v="100"/>
    <n v="286.23"/>
  </r>
  <r>
    <s v="ORD-00244"/>
    <d v="2025-03-15T00:00:00"/>
    <s v="CUST-0271"/>
    <x v="1"/>
    <x v="1"/>
    <x v="3"/>
    <n v="1"/>
    <n v="0"/>
    <x v="25"/>
    <n v="37.65"/>
  </r>
  <r>
    <s v="ORD-00245"/>
    <d v="2025-03-16T00:00:00"/>
    <s v="CUST-0027"/>
    <x v="1"/>
    <x v="1"/>
    <x v="3"/>
    <n v="2"/>
    <n v="0.15"/>
    <x v="99"/>
    <n v="66.239999999999995"/>
  </r>
  <r>
    <s v="ORD-00246"/>
    <d v="2025-03-16T00:00:00"/>
    <s v="CUST-0084"/>
    <x v="3"/>
    <x v="2"/>
    <x v="1"/>
    <n v="4"/>
    <n v="0"/>
    <x v="53"/>
    <n v="607.74"/>
  </r>
  <r>
    <s v="ORD-00247"/>
    <d v="2025-03-16T00:00:00"/>
    <s v="CUST-0058"/>
    <x v="4"/>
    <x v="2"/>
    <x v="2"/>
    <n v="1"/>
    <n v="0.05"/>
    <x v="18"/>
    <n v="133.80000000000001"/>
  </r>
  <r>
    <s v="ORD-00248"/>
    <d v="2025-03-16T00:00:00"/>
    <s v="CUST-0281"/>
    <x v="8"/>
    <x v="0"/>
    <x v="2"/>
    <n v="2"/>
    <n v="0"/>
    <x v="106"/>
    <n v="33.64"/>
  </r>
  <r>
    <s v="ORD-00249"/>
    <d v="2025-03-17T00:00:00"/>
    <s v="CUST-0145"/>
    <x v="5"/>
    <x v="2"/>
    <x v="0"/>
    <n v="4"/>
    <n v="0.05"/>
    <x v="129"/>
    <n v="43.64"/>
  </r>
  <r>
    <s v="ORD-00250"/>
    <d v="2025-03-17T00:00:00"/>
    <s v="CUST-0181"/>
    <x v="2"/>
    <x v="1"/>
    <x v="2"/>
    <n v="3"/>
    <n v="0.15"/>
    <x v="63"/>
    <n v="51.34"/>
  </r>
  <r>
    <s v="ORD-00251"/>
    <d v="2025-03-17T00:00:00"/>
    <s v="CUST-0222"/>
    <x v="7"/>
    <x v="3"/>
    <x v="1"/>
    <n v="3"/>
    <n v="0"/>
    <x v="30"/>
    <n v="6.9"/>
  </r>
  <r>
    <s v="ORD-00252"/>
    <d v="2025-03-18T00:00:00"/>
    <s v="CUST-0009"/>
    <x v="0"/>
    <x v="0"/>
    <x v="1"/>
    <n v="1"/>
    <n v="0.1"/>
    <x v="66"/>
    <n v="12.68"/>
  </r>
  <r>
    <s v="ORD-00253"/>
    <d v="2025-03-18T00:00:00"/>
    <s v="CUST-0117"/>
    <x v="6"/>
    <x v="2"/>
    <x v="1"/>
    <n v="4"/>
    <n v="0"/>
    <x v="59"/>
    <n v="253.06"/>
  </r>
  <r>
    <s v="ORD-00254"/>
    <d v="2025-03-18T00:00:00"/>
    <s v="CUST-0277"/>
    <x v="9"/>
    <x v="0"/>
    <x v="1"/>
    <n v="3"/>
    <n v="0.2"/>
    <x v="88"/>
    <n v="13.51"/>
  </r>
  <r>
    <s v="ORD-00255"/>
    <d v="2025-03-19T00:00:00"/>
    <s v="CUST-0102"/>
    <x v="5"/>
    <x v="2"/>
    <x v="0"/>
    <n v="3"/>
    <n v="0.1"/>
    <x v="56"/>
    <n v="25.91"/>
  </r>
  <r>
    <s v="ORD-00256"/>
    <d v="2025-03-19T00:00:00"/>
    <s v="CUST-0076"/>
    <x v="9"/>
    <x v="0"/>
    <x v="0"/>
    <n v="3"/>
    <n v="0.05"/>
    <x v="75"/>
    <n v="27.81"/>
  </r>
  <r>
    <s v="ORD-00257"/>
    <d v="2025-03-19T00:00:00"/>
    <s v="CUST-0242"/>
    <x v="8"/>
    <x v="0"/>
    <x v="2"/>
    <n v="4"/>
    <n v="0.1"/>
    <x v="70"/>
    <n v="30.25"/>
  </r>
  <r>
    <s v="ORD-00258"/>
    <d v="2025-03-20T00:00:00"/>
    <s v="CUST-0077"/>
    <x v="3"/>
    <x v="2"/>
    <x v="2"/>
    <n v="2"/>
    <n v="0.1"/>
    <x v="24"/>
    <n v="134.54"/>
  </r>
  <r>
    <s v="ORD-00259"/>
    <d v="2025-03-20T00:00:00"/>
    <s v="CUST-0122"/>
    <x v="7"/>
    <x v="3"/>
    <x v="1"/>
    <n v="2"/>
    <n v="0.2"/>
    <x v="130"/>
    <n v="2.2400000000000002"/>
  </r>
  <r>
    <s v="ORD-00260"/>
    <d v="2025-03-20T00:00:00"/>
    <s v="CUST-0123"/>
    <x v="5"/>
    <x v="2"/>
    <x v="1"/>
    <n v="2"/>
    <n v="0"/>
    <x v="111"/>
    <n v="57.45"/>
  </r>
  <r>
    <s v="ORD-00261"/>
    <d v="2025-03-20T00:00:00"/>
    <s v="CUST-0204"/>
    <x v="6"/>
    <x v="2"/>
    <x v="2"/>
    <n v="1"/>
    <n v="0"/>
    <x v="76"/>
    <n v="65.22"/>
  </r>
  <r>
    <s v="ORD-00262"/>
    <d v="2025-03-21T00:00:00"/>
    <s v="CUST-0111"/>
    <x v="9"/>
    <x v="0"/>
    <x v="3"/>
    <n v="2"/>
    <n v="0.1"/>
    <x v="44"/>
    <n v="7.4"/>
  </r>
  <r>
    <s v="ORD-00263"/>
    <d v="2025-03-21T00:00:00"/>
    <s v="CUST-0022"/>
    <x v="0"/>
    <x v="0"/>
    <x v="1"/>
    <n v="3"/>
    <n v="0.15"/>
    <x v="131"/>
    <n v="19.88"/>
  </r>
  <r>
    <s v="ORD-00264"/>
    <d v="2025-03-21T00:00:00"/>
    <s v="CUST-0012"/>
    <x v="4"/>
    <x v="2"/>
    <x v="3"/>
    <n v="1"/>
    <n v="0"/>
    <x v="40"/>
    <n v="146.13999999999999"/>
  </r>
  <r>
    <s v="ORD-00265"/>
    <d v="2025-03-22T00:00:00"/>
    <s v="CUST-0238"/>
    <x v="6"/>
    <x v="2"/>
    <x v="2"/>
    <n v="5"/>
    <n v="0.1"/>
    <x v="21"/>
    <n v="257.04000000000002"/>
  </r>
  <r>
    <s v="ORD-00266"/>
    <d v="2025-03-22T00:00:00"/>
    <s v="CUST-0300"/>
    <x v="9"/>
    <x v="0"/>
    <x v="1"/>
    <n v="5"/>
    <n v="0.15"/>
    <x v="118"/>
    <n v="14.74"/>
  </r>
  <r>
    <s v="ORD-00267"/>
    <d v="2025-03-22T00:00:00"/>
    <s v="CUST-0059"/>
    <x v="8"/>
    <x v="0"/>
    <x v="3"/>
    <n v="2"/>
    <n v="0.1"/>
    <x v="86"/>
    <n v="19.22"/>
  </r>
  <r>
    <s v="ORD-00268"/>
    <d v="2025-03-23T00:00:00"/>
    <s v="CUST-0207"/>
    <x v="7"/>
    <x v="3"/>
    <x v="0"/>
    <n v="3"/>
    <n v="0.1"/>
    <x v="132"/>
    <n v="6.37"/>
  </r>
  <r>
    <s v="ORD-00269"/>
    <d v="2025-03-23T00:00:00"/>
    <s v="CUST-0024"/>
    <x v="0"/>
    <x v="0"/>
    <x v="2"/>
    <n v="4"/>
    <n v="0"/>
    <x v="50"/>
    <n v="41.33"/>
  </r>
  <r>
    <s v="ORD-00270"/>
    <d v="2025-03-23T00:00:00"/>
    <s v="CUST-0152"/>
    <x v="2"/>
    <x v="1"/>
    <x v="1"/>
    <n v="4"/>
    <n v="0.1"/>
    <x v="133"/>
    <n v="111.28"/>
  </r>
  <r>
    <s v="ORD-00271"/>
    <d v="2025-03-23T00:00:00"/>
    <s v="CUST-0117"/>
    <x v="3"/>
    <x v="2"/>
    <x v="1"/>
    <n v="3"/>
    <n v="0.1"/>
    <x v="4"/>
    <n v="374.94"/>
  </r>
  <r>
    <s v="ORD-00272"/>
    <d v="2025-03-24T00:00:00"/>
    <s v="CUST-0295"/>
    <x v="1"/>
    <x v="1"/>
    <x v="1"/>
    <n v="2"/>
    <n v="0.1"/>
    <x v="8"/>
    <n v="43.71"/>
  </r>
  <r>
    <s v="ORD-00273"/>
    <d v="2025-03-24T00:00:00"/>
    <s v="CUST-0131"/>
    <x v="4"/>
    <x v="2"/>
    <x v="0"/>
    <n v="3"/>
    <n v="0.05"/>
    <x v="67"/>
    <n v="387.25"/>
  </r>
  <r>
    <s v="ORD-00274"/>
    <d v="2025-03-24T00:00:00"/>
    <s v="CUST-0008"/>
    <x v="5"/>
    <x v="2"/>
    <x v="2"/>
    <n v="5"/>
    <n v="0.1"/>
    <x v="10"/>
    <n v="101.47"/>
  </r>
  <r>
    <s v="ORD-00275"/>
    <d v="2025-03-25T00:00:00"/>
    <s v="CUST-0293"/>
    <x v="0"/>
    <x v="0"/>
    <x v="0"/>
    <n v="2"/>
    <n v="0"/>
    <x v="1"/>
    <n v="20.43"/>
  </r>
  <r>
    <s v="ORD-00276"/>
    <d v="2025-03-25T00:00:00"/>
    <s v="CUST-0111"/>
    <x v="8"/>
    <x v="0"/>
    <x v="1"/>
    <n v="5"/>
    <n v="0.05"/>
    <x v="38"/>
    <n v="69.87"/>
  </r>
  <r>
    <s v="ORD-00277"/>
    <d v="2025-03-25T00:00:00"/>
    <s v="CUST-0145"/>
    <x v="9"/>
    <x v="0"/>
    <x v="3"/>
    <n v="1"/>
    <n v="0.1"/>
    <x v="29"/>
    <n v="7.83"/>
  </r>
  <r>
    <s v="ORD-00278"/>
    <d v="2025-03-26T00:00:00"/>
    <s v="CUST-0261"/>
    <x v="6"/>
    <x v="2"/>
    <x v="3"/>
    <n v="1"/>
    <n v="0.05"/>
    <x v="134"/>
    <n v="38.020000000000003"/>
  </r>
  <r>
    <s v="ORD-00279"/>
    <d v="2025-03-26T00:00:00"/>
    <s v="CUST-0287"/>
    <x v="3"/>
    <x v="2"/>
    <x v="3"/>
    <n v="4"/>
    <n v="0"/>
    <x v="53"/>
    <n v="483.69"/>
  </r>
  <r>
    <s v="ORD-00280"/>
    <d v="2025-03-26T00:00:00"/>
    <s v="CUST-0093"/>
    <x v="7"/>
    <x v="3"/>
    <x v="1"/>
    <n v="3"/>
    <n v="0.05"/>
    <x v="135"/>
    <n v="6.33"/>
  </r>
  <r>
    <s v="ORD-00281"/>
    <d v="2025-03-27T00:00:00"/>
    <s v="CUST-0001"/>
    <x v="6"/>
    <x v="2"/>
    <x v="0"/>
    <n v="1"/>
    <n v="0.05"/>
    <x v="134"/>
    <n v="50.98"/>
  </r>
  <r>
    <s v="ORD-00282"/>
    <d v="2025-03-27T00:00:00"/>
    <s v="CUST-0175"/>
    <x v="8"/>
    <x v="0"/>
    <x v="0"/>
    <n v="4"/>
    <n v="0.05"/>
    <x v="136"/>
    <n v="37.6"/>
  </r>
  <r>
    <s v="ORD-00283"/>
    <d v="2025-03-27T00:00:00"/>
    <s v="CUST-0156"/>
    <x v="2"/>
    <x v="1"/>
    <x v="3"/>
    <n v="1"/>
    <n v="0.15"/>
    <x v="137"/>
    <n v="15.15"/>
  </r>
  <r>
    <s v="ORD-00284"/>
    <d v="2025-03-27T00:00:00"/>
    <s v="CUST-0130"/>
    <x v="8"/>
    <x v="0"/>
    <x v="0"/>
    <n v="4"/>
    <n v="0.1"/>
    <x v="70"/>
    <n v="49.17"/>
  </r>
  <r>
    <s v="ORD-00285"/>
    <d v="2025-03-28T00:00:00"/>
    <s v="CUST-0035"/>
    <x v="2"/>
    <x v="1"/>
    <x v="1"/>
    <n v="4"/>
    <n v="0"/>
    <x v="138"/>
    <n v="221.76"/>
  </r>
  <r>
    <s v="ORD-00286"/>
    <d v="2025-03-28T00:00:00"/>
    <s v="CUST-0179"/>
    <x v="2"/>
    <x v="1"/>
    <x v="1"/>
    <n v="5"/>
    <n v="0"/>
    <x v="55"/>
    <n v="395.27"/>
  </r>
  <r>
    <s v="ORD-00287"/>
    <d v="2025-03-28T00:00:00"/>
    <s v="CUST-0299"/>
    <x v="7"/>
    <x v="3"/>
    <x v="1"/>
    <n v="4"/>
    <n v="0.2"/>
    <x v="69"/>
    <n v="-0.42"/>
  </r>
  <r>
    <s v="ORD-00288"/>
    <d v="2025-03-29T00:00:00"/>
    <s v="CUST-0223"/>
    <x v="5"/>
    <x v="2"/>
    <x v="2"/>
    <n v="1"/>
    <n v="0.1"/>
    <x v="88"/>
    <n v="8.51"/>
  </r>
  <r>
    <s v="ORD-00289"/>
    <d v="2025-03-29T00:00:00"/>
    <s v="CUST-0126"/>
    <x v="5"/>
    <x v="2"/>
    <x v="0"/>
    <n v="4"/>
    <n v="0.1"/>
    <x v="82"/>
    <n v="81.55"/>
  </r>
  <r>
    <s v="ORD-00290"/>
    <d v="2025-03-29T00:00:00"/>
    <s v="CUST-0129"/>
    <x v="1"/>
    <x v="1"/>
    <x v="3"/>
    <n v="2"/>
    <n v="0"/>
    <x v="10"/>
    <n v="88.31"/>
  </r>
  <r>
    <s v="ORD-00291"/>
    <d v="2025-03-30T00:00:00"/>
    <s v="CUST-0086"/>
    <x v="9"/>
    <x v="0"/>
    <x v="3"/>
    <n v="5"/>
    <n v="0.05"/>
    <x v="104"/>
    <n v="23.46"/>
  </r>
  <r>
    <s v="ORD-00292"/>
    <d v="2025-03-30T00:00:00"/>
    <s v="CUST-0114"/>
    <x v="5"/>
    <x v="2"/>
    <x v="1"/>
    <n v="1"/>
    <n v="0.15"/>
    <x v="139"/>
    <n v="3.29"/>
  </r>
  <r>
    <s v="ORD-00293"/>
    <d v="2025-03-30T00:00:00"/>
    <s v="CUST-0076"/>
    <x v="3"/>
    <x v="2"/>
    <x v="3"/>
    <n v="2"/>
    <n v="0.15"/>
    <x v="84"/>
    <n v="150.63999999999999"/>
  </r>
  <r>
    <s v="ORD-00294"/>
    <d v="2025-03-30T00:00:00"/>
    <s v="CUST-0147"/>
    <x v="9"/>
    <x v="0"/>
    <x v="3"/>
    <n v="1"/>
    <n v="0.1"/>
    <x v="29"/>
    <n v="4.34"/>
  </r>
  <r>
    <s v="ORD-00295"/>
    <d v="2025-03-31T00:00:00"/>
    <s v="CUST-0192"/>
    <x v="2"/>
    <x v="1"/>
    <x v="1"/>
    <n v="5"/>
    <n v="0.1"/>
    <x v="140"/>
    <n v="231.31"/>
  </r>
  <r>
    <s v="ORD-00296"/>
    <d v="2025-03-31T00:00:00"/>
    <s v="CUST-0073"/>
    <x v="6"/>
    <x v="2"/>
    <x v="0"/>
    <n v="1"/>
    <n v="0.05"/>
    <x v="134"/>
    <n v="37.4"/>
  </r>
  <r>
    <s v="ORD-00297"/>
    <d v="2025-03-31T00:00:00"/>
    <s v="CUST-0132"/>
    <x v="6"/>
    <x v="2"/>
    <x v="1"/>
    <n v="3"/>
    <n v="0.15"/>
    <x v="68"/>
    <n v="107.4"/>
  </r>
  <r>
    <s v="ORD-00298"/>
    <d v="2025-04-01T00:00:00"/>
    <s v="CUST-0129"/>
    <x v="4"/>
    <x v="2"/>
    <x v="2"/>
    <n v="2"/>
    <n v="0.15"/>
    <x v="141"/>
    <n v="70.44"/>
  </r>
  <r>
    <s v="ORD-00299"/>
    <d v="2025-04-01T00:00:00"/>
    <s v="CUST-0199"/>
    <x v="8"/>
    <x v="0"/>
    <x v="3"/>
    <n v="1"/>
    <n v="0.05"/>
    <x v="22"/>
    <n v="9.18"/>
  </r>
  <r>
    <s v="ORD-00300"/>
    <d v="2025-04-01T00:00:00"/>
    <s v="CUST-0224"/>
    <x v="2"/>
    <x v="1"/>
    <x v="0"/>
    <n v="3"/>
    <n v="0.05"/>
    <x v="115"/>
    <n v="158.57"/>
  </r>
  <r>
    <s v="ORD-00301"/>
    <d v="2025-04-02T00:00:00"/>
    <s v="CUST-0110"/>
    <x v="4"/>
    <x v="2"/>
    <x v="1"/>
    <n v="4"/>
    <n v="0"/>
    <x v="16"/>
    <n v="525.17999999999995"/>
  </r>
  <r>
    <s v="ORD-00302"/>
    <d v="2025-04-02T00:00:00"/>
    <s v="CUST-0282"/>
    <x v="7"/>
    <x v="3"/>
    <x v="2"/>
    <n v="2"/>
    <n v="0.05"/>
    <x v="45"/>
    <n v="4.0599999999999996"/>
  </r>
  <r>
    <s v="ORD-00303"/>
    <d v="2025-04-02T00:00:00"/>
    <s v="CUST-0012"/>
    <x v="5"/>
    <x v="2"/>
    <x v="0"/>
    <n v="4"/>
    <n v="0"/>
    <x v="127"/>
    <n v="99.76"/>
  </r>
  <r>
    <s v="ORD-00304"/>
    <d v="2025-04-02T00:00:00"/>
    <s v="CUST-0043"/>
    <x v="5"/>
    <x v="2"/>
    <x v="2"/>
    <n v="5"/>
    <n v="0"/>
    <x v="57"/>
    <n v="113.86"/>
  </r>
  <r>
    <s v="ORD-00305"/>
    <d v="2025-04-03T00:00:00"/>
    <s v="CUST-0021"/>
    <x v="0"/>
    <x v="0"/>
    <x v="3"/>
    <n v="2"/>
    <n v="0.1"/>
    <x v="23"/>
    <n v="19.329999999999998"/>
  </r>
  <r>
    <s v="ORD-00306"/>
    <d v="2025-04-03T00:00:00"/>
    <s v="CUST-0203"/>
    <x v="0"/>
    <x v="0"/>
    <x v="3"/>
    <n v="5"/>
    <n v="0.15"/>
    <x v="142"/>
    <n v="49.86"/>
  </r>
  <r>
    <s v="ORD-00307"/>
    <d v="2025-04-03T00:00:00"/>
    <s v="CUST-0052"/>
    <x v="1"/>
    <x v="1"/>
    <x v="1"/>
    <n v="5"/>
    <n v="0.05"/>
    <x v="143"/>
    <n v="261.98"/>
  </r>
  <r>
    <s v="ORD-00308"/>
    <d v="2025-04-04T00:00:00"/>
    <s v="CUST-0077"/>
    <x v="4"/>
    <x v="2"/>
    <x v="2"/>
    <n v="2"/>
    <n v="0.1"/>
    <x v="43"/>
    <n v="136.77000000000001"/>
  </r>
  <r>
    <s v="ORD-00309"/>
    <d v="2025-04-04T00:00:00"/>
    <s v="CUST-0108"/>
    <x v="7"/>
    <x v="3"/>
    <x v="1"/>
    <n v="1"/>
    <n v="0.1"/>
    <x v="47"/>
    <n v="2.04"/>
  </r>
  <r>
    <s v="ORD-00310"/>
    <d v="2025-04-04T00:00:00"/>
    <s v="CUST-0241"/>
    <x v="0"/>
    <x v="0"/>
    <x v="1"/>
    <n v="5"/>
    <n v="0"/>
    <x v="61"/>
    <n v="88.26"/>
  </r>
  <r>
    <s v="ORD-00311"/>
    <d v="2025-04-05T00:00:00"/>
    <s v="CUST-0172"/>
    <x v="7"/>
    <x v="3"/>
    <x v="2"/>
    <n v="4"/>
    <n v="0.05"/>
    <x v="19"/>
    <n v="10"/>
  </r>
  <r>
    <s v="ORD-00312"/>
    <d v="2025-04-05T00:00:00"/>
    <s v="CUST-0277"/>
    <x v="7"/>
    <x v="3"/>
    <x v="1"/>
    <n v="3"/>
    <n v="0"/>
    <x v="30"/>
    <n v="6.06"/>
  </r>
  <r>
    <s v="ORD-00313"/>
    <d v="2025-04-05T00:00:00"/>
    <s v="CUST-0121"/>
    <x v="6"/>
    <x v="2"/>
    <x v="0"/>
    <n v="2"/>
    <n v="0"/>
    <x v="123"/>
    <n v="123.75"/>
  </r>
  <r>
    <s v="ORD-00314"/>
    <d v="2025-04-06T00:00:00"/>
    <s v="CUST-0050"/>
    <x v="7"/>
    <x v="3"/>
    <x v="2"/>
    <n v="1"/>
    <n v="0"/>
    <x v="120"/>
    <n v="1.79"/>
  </r>
  <r>
    <s v="ORD-00315"/>
    <d v="2025-04-06T00:00:00"/>
    <s v="CUST-0146"/>
    <x v="4"/>
    <x v="2"/>
    <x v="3"/>
    <n v="4"/>
    <n v="0.05"/>
    <x v="144"/>
    <n v="392.98"/>
  </r>
  <r>
    <s v="ORD-00316"/>
    <d v="2025-04-06T00:00:00"/>
    <s v="CUST-0175"/>
    <x v="1"/>
    <x v="1"/>
    <x v="0"/>
    <n v="2"/>
    <n v="0.05"/>
    <x v="73"/>
    <n v="76.56"/>
  </r>
  <r>
    <s v="ORD-00317"/>
    <d v="2025-04-06T00:00:00"/>
    <s v="CUST-0150"/>
    <x v="4"/>
    <x v="2"/>
    <x v="2"/>
    <n v="4"/>
    <n v="0.15"/>
    <x v="42"/>
    <n v="373.3"/>
  </r>
  <r>
    <s v="ORD-00318"/>
    <d v="2025-04-07T00:00:00"/>
    <s v="CUST-0138"/>
    <x v="2"/>
    <x v="1"/>
    <x v="0"/>
    <n v="3"/>
    <n v="0.1"/>
    <x v="41"/>
    <n v="112.64"/>
  </r>
  <r>
    <s v="ORD-00319"/>
    <d v="2025-04-07T00:00:00"/>
    <s v="CUST-0085"/>
    <x v="6"/>
    <x v="2"/>
    <x v="1"/>
    <n v="1"/>
    <n v="0.2"/>
    <x v="145"/>
    <n v="36.65"/>
  </r>
  <r>
    <s v="ORD-00320"/>
    <d v="2025-04-07T00:00:00"/>
    <s v="CUST-0241"/>
    <x v="4"/>
    <x v="2"/>
    <x v="3"/>
    <n v="2"/>
    <n v="0.05"/>
    <x v="107"/>
    <n v="186.48"/>
  </r>
  <r>
    <s v="ORD-00321"/>
    <d v="2025-04-08T00:00:00"/>
    <s v="CUST-0102"/>
    <x v="0"/>
    <x v="0"/>
    <x v="1"/>
    <n v="4"/>
    <n v="0.15"/>
    <x v="137"/>
    <n v="24.06"/>
  </r>
  <r>
    <s v="ORD-00322"/>
    <d v="2025-04-08T00:00:00"/>
    <s v="CUST-0164"/>
    <x v="0"/>
    <x v="0"/>
    <x v="3"/>
    <n v="5"/>
    <n v="0"/>
    <x v="61"/>
    <n v="99.79"/>
  </r>
  <r>
    <s v="ORD-00323"/>
    <d v="2025-04-08T00:00:00"/>
    <s v="CUST-0196"/>
    <x v="6"/>
    <x v="2"/>
    <x v="0"/>
    <n v="1"/>
    <n v="0"/>
    <x v="76"/>
    <n v="74.16"/>
  </r>
  <r>
    <s v="ORD-00324"/>
    <d v="2025-04-09T00:00:00"/>
    <s v="CUST-0027"/>
    <x v="3"/>
    <x v="2"/>
    <x v="2"/>
    <n v="4"/>
    <n v="0"/>
    <x v="53"/>
    <n v="571.80999999999995"/>
  </r>
  <r>
    <s v="ORD-00325"/>
    <d v="2025-04-09T00:00:00"/>
    <s v="CUST-0058"/>
    <x v="2"/>
    <x v="1"/>
    <x v="3"/>
    <n v="2"/>
    <n v="0.1"/>
    <x v="146"/>
    <n v="102.89"/>
  </r>
  <r>
    <s v="ORD-00326"/>
    <d v="2025-04-09T00:00:00"/>
    <s v="CUST-0209"/>
    <x v="8"/>
    <x v="0"/>
    <x v="3"/>
    <n v="2"/>
    <n v="0.2"/>
    <x v="88"/>
    <n v="4.29"/>
  </r>
  <r>
    <s v="ORD-00327"/>
    <d v="2025-04-09T00:00:00"/>
    <s v="CUST-0036"/>
    <x v="5"/>
    <x v="2"/>
    <x v="0"/>
    <n v="4"/>
    <n v="0"/>
    <x v="127"/>
    <n v="85.61"/>
  </r>
  <r>
    <s v="ORD-00328"/>
    <d v="2025-04-10T00:00:00"/>
    <s v="CUST-0012"/>
    <x v="6"/>
    <x v="2"/>
    <x v="0"/>
    <n v="2"/>
    <n v="0"/>
    <x v="123"/>
    <n v="139.16"/>
  </r>
  <r>
    <s v="ORD-00329"/>
    <d v="2025-04-10T00:00:00"/>
    <s v="CUST-0279"/>
    <x v="9"/>
    <x v="0"/>
    <x v="2"/>
    <n v="4"/>
    <n v="0.05"/>
    <x v="83"/>
    <n v="30.42"/>
  </r>
  <r>
    <s v="ORD-00330"/>
    <d v="2025-04-10T00:00:00"/>
    <s v="CUST-0121"/>
    <x v="4"/>
    <x v="2"/>
    <x v="1"/>
    <n v="5"/>
    <n v="0.1"/>
    <x v="147"/>
    <n v="315.7"/>
  </r>
  <r>
    <s v="ORD-00331"/>
    <d v="2025-04-11T00:00:00"/>
    <s v="CUST-0231"/>
    <x v="2"/>
    <x v="1"/>
    <x v="2"/>
    <n v="4"/>
    <n v="0.1"/>
    <x v="133"/>
    <n v="230.71"/>
  </r>
  <r>
    <s v="ORD-00332"/>
    <d v="2025-04-11T00:00:00"/>
    <s v="CUST-0226"/>
    <x v="3"/>
    <x v="2"/>
    <x v="0"/>
    <n v="5"/>
    <n v="0.15"/>
    <x v="74"/>
    <n v="239.18"/>
  </r>
  <r>
    <s v="ORD-00333"/>
    <d v="2025-04-11T00:00:00"/>
    <s v="CUST-0258"/>
    <x v="1"/>
    <x v="1"/>
    <x v="3"/>
    <n v="1"/>
    <n v="0"/>
    <x v="25"/>
    <n v="56.1"/>
  </r>
  <r>
    <s v="ORD-00334"/>
    <d v="2025-04-12T00:00:00"/>
    <s v="CUST-0190"/>
    <x v="6"/>
    <x v="2"/>
    <x v="3"/>
    <n v="1"/>
    <n v="0.1"/>
    <x v="56"/>
    <n v="27.59"/>
  </r>
  <r>
    <s v="ORD-00335"/>
    <d v="2025-04-12T00:00:00"/>
    <s v="CUST-0143"/>
    <x v="7"/>
    <x v="3"/>
    <x v="1"/>
    <n v="4"/>
    <n v="0.15"/>
    <x v="98"/>
    <n v="6.32"/>
  </r>
  <r>
    <s v="ORD-00336"/>
    <d v="2025-04-12T00:00:00"/>
    <s v="CUST-0042"/>
    <x v="2"/>
    <x v="1"/>
    <x v="1"/>
    <n v="4"/>
    <n v="0"/>
    <x v="138"/>
    <n v="170.62"/>
  </r>
  <r>
    <s v="ORD-00337"/>
    <d v="2025-04-13T00:00:00"/>
    <s v="CUST-0158"/>
    <x v="5"/>
    <x v="2"/>
    <x v="1"/>
    <n v="5"/>
    <n v="0.05"/>
    <x v="108"/>
    <n v="61.76"/>
  </r>
  <r>
    <s v="ORD-00338"/>
    <d v="2025-04-13T00:00:00"/>
    <s v="CUST-0073"/>
    <x v="8"/>
    <x v="0"/>
    <x v="3"/>
    <n v="3"/>
    <n v="0.15"/>
    <x v="148"/>
    <n v="22.82"/>
  </r>
  <r>
    <s v="ORD-00339"/>
    <d v="2025-04-13T00:00:00"/>
    <s v="CUST-0206"/>
    <x v="2"/>
    <x v="1"/>
    <x v="2"/>
    <n v="3"/>
    <n v="0"/>
    <x v="149"/>
    <n v="159.07"/>
  </r>
  <r>
    <s v="ORD-00340"/>
    <d v="2025-04-13T00:00:00"/>
    <s v="CUST-0289"/>
    <x v="5"/>
    <x v="2"/>
    <x v="2"/>
    <n v="2"/>
    <n v="0.15"/>
    <x v="150"/>
    <n v="32.56"/>
  </r>
  <r>
    <s v="ORD-00341"/>
    <d v="2025-04-14T00:00:00"/>
    <s v="CUST-0025"/>
    <x v="3"/>
    <x v="2"/>
    <x v="0"/>
    <n v="5"/>
    <n v="0.05"/>
    <x v="54"/>
    <n v="453.18"/>
  </r>
  <r>
    <s v="ORD-00342"/>
    <d v="2025-04-14T00:00:00"/>
    <s v="CUST-0025"/>
    <x v="2"/>
    <x v="1"/>
    <x v="3"/>
    <n v="2"/>
    <n v="0"/>
    <x v="151"/>
    <n v="164.93"/>
  </r>
  <r>
    <s v="ORD-00343"/>
    <d v="2025-04-14T00:00:00"/>
    <s v="CUST-0096"/>
    <x v="1"/>
    <x v="1"/>
    <x v="2"/>
    <n v="5"/>
    <n v="0.1"/>
    <x v="152"/>
    <n v="78.150000000000006"/>
  </r>
  <r>
    <s v="ORD-00344"/>
    <d v="2025-04-15T00:00:00"/>
    <s v="CUST-0160"/>
    <x v="1"/>
    <x v="1"/>
    <x v="0"/>
    <n v="2"/>
    <n v="0.05"/>
    <x v="73"/>
    <n v="57.5"/>
  </r>
  <r>
    <s v="ORD-00345"/>
    <d v="2025-04-15T00:00:00"/>
    <s v="CUST-0005"/>
    <x v="5"/>
    <x v="2"/>
    <x v="3"/>
    <n v="4"/>
    <n v="0.05"/>
    <x v="129"/>
    <n v="80.87"/>
  </r>
  <r>
    <s v="ORD-00346"/>
    <d v="2025-04-15T00:00:00"/>
    <s v="CUST-0178"/>
    <x v="5"/>
    <x v="2"/>
    <x v="0"/>
    <n v="2"/>
    <n v="0"/>
    <x v="111"/>
    <n v="45.29"/>
  </r>
  <r>
    <s v="ORD-00347"/>
    <d v="2025-04-16T00:00:00"/>
    <s v="CUST-0149"/>
    <x v="9"/>
    <x v="0"/>
    <x v="0"/>
    <n v="1"/>
    <n v="0.05"/>
    <x v="153"/>
    <n v="8.8800000000000008"/>
  </r>
  <r>
    <s v="ORD-00348"/>
    <d v="2025-04-16T00:00:00"/>
    <s v="CUST-0040"/>
    <x v="4"/>
    <x v="2"/>
    <x v="0"/>
    <n v="4"/>
    <n v="0.1"/>
    <x v="5"/>
    <n v="306.72000000000003"/>
  </r>
  <r>
    <s v="ORD-00349"/>
    <d v="2025-04-16T00:00:00"/>
    <s v="CUST-0124"/>
    <x v="2"/>
    <x v="1"/>
    <x v="1"/>
    <n v="4"/>
    <n v="0.05"/>
    <x v="36"/>
    <n v="180.59"/>
  </r>
  <r>
    <s v="ORD-00350"/>
    <d v="2025-04-16T00:00:00"/>
    <s v="CUST-0062"/>
    <x v="0"/>
    <x v="0"/>
    <x v="2"/>
    <n v="2"/>
    <n v="0"/>
    <x v="1"/>
    <n v="22.29"/>
  </r>
  <r>
    <s v="ORD-00351"/>
    <d v="2025-04-17T00:00:00"/>
    <s v="CUST-0229"/>
    <x v="4"/>
    <x v="2"/>
    <x v="0"/>
    <n v="3"/>
    <n v="0.05"/>
    <x v="67"/>
    <n v="246.74"/>
  </r>
  <r>
    <s v="ORD-00352"/>
    <d v="2025-04-17T00:00:00"/>
    <s v="CUST-0219"/>
    <x v="8"/>
    <x v="0"/>
    <x v="0"/>
    <n v="5"/>
    <n v="0"/>
    <x v="89"/>
    <n v="66.77"/>
  </r>
  <r>
    <s v="ORD-00353"/>
    <d v="2025-04-17T00:00:00"/>
    <s v="CUST-0065"/>
    <x v="8"/>
    <x v="0"/>
    <x v="0"/>
    <n v="5"/>
    <n v="0.15"/>
    <x v="122"/>
    <n v="45.58"/>
  </r>
  <r>
    <s v="ORD-00354"/>
    <d v="2025-04-18T00:00:00"/>
    <s v="CUST-0173"/>
    <x v="2"/>
    <x v="1"/>
    <x v="2"/>
    <n v="2"/>
    <n v="0"/>
    <x v="151"/>
    <n v="81.319999999999993"/>
  </r>
  <r>
    <s v="ORD-00355"/>
    <d v="2025-04-18T00:00:00"/>
    <s v="CUST-0191"/>
    <x v="1"/>
    <x v="1"/>
    <x v="0"/>
    <n v="1"/>
    <n v="0"/>
    <x v="25"/>
    <n v="48.67"/>
  </r>
  <r>
    <s v="ORD-00356"/>
    <d v="2025-04-18T00:00:00"/>
    <s v="CUST-0052"/>
    <x v="1"/>
    <x v="1"/>
    <x v="2"/>
    <n v="5"/>
    <n v="0.05"/>
    <x v="143"/>
    <n v="269.99"/>
  </r>
  <r>
    <s v="ORD-00357"/>
    <d v="2025-04-19T00:00:00"/>
    <s v="CUST-0042"/>
    <x v="5"/>
    <x v="2"/>
    <x v="0"/>
    <n v="3"/>
    <n v="0.05"/>
    <x v="134"/>
    <n v="60.27"/>
  </r>
  <r>
    <s v="ORD-00358"/>
    <d v="2025-04-19T00:00:00"/>
    <s v="CUST-0120"/>
    <x v="7"/>
    <x v="3"/>
    <x v="0"/>
    <n v="5"/>
    <n v="0"/>
    <x v="51"/>
    <n v="14.38"/>
  </r>
  <r>
    <s v="ORD-00359"/>
    <d v="2025-04-19T00:00:00"/>
    <s v="CUST-0097"/>
    <x v="6"/>
    <x v="2"/>
    <x v="1"/>
    <n v="1"/>
    <n v="0.15"/>
    <x v="97"/>
    <n v="51.53"/>
  </r>
  <r>
    <s v="ORD-00360"/>
    <d v="2025-04-19T00:00:00"/>
    <s v="CUST-0284"/>
    <x v="5"/>
    <x v="2"/>
    <x v="3"/>
    <n v="2"/>
    <n v="0.05"/>
    <x v="7"/>
    <n v="27.8"/>
  </r>
  <r>
    <s v="ORD-00361"/>
    <d v="2025-04-20T00:00:00"/>
    <s v="CUST-0079"/>
    <x v="0"/>
    <x v="0"/>
    <x v="0"/>
    <n v="2"/>
    <n v="0.05"/>
    <x v="78"/>
    <n v="26.4"/>
  </r>
  <r>
    <s v="ORD-00362"/>
    <d v="2025-04-20T00:00:00"/>
    <s v="CUST-0087"/>
    <x v="0"/>
    <x v="0"/>
    <x v="0"/>
    <n v="5"/>
    <n v="0"/>
    <x v="61"/>
    <n v="63.94"/>
  </r>
  <r>
    <s v="ORD-00363"/>
    <d v="2025-04-20T00:00:00"/>
    <s v="CUST-0109"/>
    <x v="9"/>
    <x v="0"/>
    <x v="3"/>
    <n v="5"/>
    <n v="0"/>
    <x v="154"/>
    <n v="34.61"/>
  </r>
  <r>
    <s v="ORD-00364"/>
    <d v="2025-04-21T00:00:00"/>
    <s v="CUST-0277"/>
    <x v="9"/>
    <x v="0"/>
    <x v="2"/>
    <n v="3"/>
    <n v="0"/>
    <x v="106"/>
    <n v="16.98"/>
  </r>
  <r>
    <s v="ORD-00365"/>
    <d v="2025-04-21T00:00:00"/>
    <s v="CUST-0028"/>
    <x v="7"/>
    <x v="3"/>
    <x v="3"/>
    <n v="4"/>
    <n v="0.05"/>
    <x v="19"/>
    <n v="5.6"/>
  </r>
  <r>
    <s v="ORD-00366"/>
    <d v="2025-04-21T00:00:00"/>
    <s v="CUST-0008"/>
    <x v="7"/>
    <x v="3"/>
    <x v="2"/>
    <n v="5"/>
    <n v="0.1"/>
    <x v="93"/>
    <n v="4.5599999999999996"/>
  </r>
  <r>
    <s v="ORD-00367"/>
    <d v="2025-04-22T00:00:00"/>
    <s v="CUST-0049"/>
    <x v="7"/>
    <x v="3"/>
    <x v="2"/>
    <n v="4"/>
    <n v="0.15"/>
    <x v="98"/>
    <n v="2.35"/>
  </r>
  <r>
    <s v="ORD-00368"/>
    <d v="2025-04-22T00:00:00"/>
    <s v="CUST-0190"/>
    <x v="1"/>
    <x v="1"/>
    <x v="3"/>
    <n v="1"/>
    <n v="0.1"/>
    <x v="70"/>
    <n v="31.31"/>
  </r>
  <r>
    <s v="ORD-00369"/>
    <d v="2025-04-22T00:00:00"/>
    <s v="CUST-0258"/>
    <x v="5"/>
    <x v="2"/>
    <x v="1"/>
    <n v="2"/>
    <n v="0.15"/>
    <x v="150"/>
    <n v="27.43"/>
  </r>
  <r>
    <s v="ORD-00370"/>
    <d v="2025-04-23T00:00:00"/>
    <s v="CUST-0273"/>
    <x v="2"/>
    <x v="1"/>
    <x v="2"/>
    <n v="4"/>
    <n v="0"/>
    <x v="138"/>
    <n v="326.7"/>
  </r>
  <r>
    <s v="ORD-00371"/>
    <d v="2025-04-23T00:00:00"/>
    <s v="CUST-0124"/>
    <x v="5"/>
    <x v="2"/>
    <x v="1"/>
    <n v="1"/>
    <n v="0.05"/>
    <x v="102"/>
    <n v="19.489999999999998"/>
  </r>
  <r>
    <s v="ORD-00372"/>
    <d v="2025-04-23T00:00:00"/>
    <s v="CUST-0213"/>
    <x v="6"/>
    <x v="2"/>
    <x v="2"/>
    <n v="2"/>
    <n v="0.2"/>
    <x v="155"/>
    <n v="63.29"/>
  </r>
  <r>
    <s v="ORD-00373"/>
    <d v="2025-04-23T00:00:00"/>
    <s v="CUST-0032"/>
    <x v="4"/>
    <x v="2"/>
    <x v="1"/>
    <n v="1"/>
    <n v="0.1"/>
    <x v="34"/>
    <n v="111.41"/>
  </r>
  <r>
    <s v="ORD-00374"/>
    <d v="2025-04-24T00:00:00"/>
    <s v="CUST-0149"/>
    <x v="0"/>
    <x v="0"/>
    <x v="0"/>
    <n v="1"/>
    <n v="0.05"/>
    <x v="156"/>
    <n v="12.17"/>
  </r>
  <r>
    <s v="ORD-00375"/>
    <d v="2025-04-24T00:00:00"/>
    <s v="CUST-0150"/>
    <x v="2"/>
    <x v="1"/>
    <x v="3"/>
    <n v="4"/>
    <n v="0"/>
    <x v="138"/>
    <n v="278.07"/>
  </r>
  <r>
    <s v="ORD-00376"/>
    <d v="2025-04-24T00:00:00"/>
    <s v="CUST-0029"/>
    <x v="6"/>
    <x v="2"/>
    <x v="0"/>
    <n v="4"/>
    <n v="0"/>
    <x v="59"/>
    <n v="333.16"/>
  </r>
  <r>
    <s v="ORD-00377"/>
    <d v="2025-04-25T00:00:00"/>
    <s v="CUST-0088"/>
    <x v="1"/>
    <x v="1"/>
    <x v="2"/>
    <n v="3"/>
    <n v="0.2"/>
    <x v="33"/>
    <n v="44.45"/>
  </r>
  <r>
    <s v="ORD-00378"/>
    <d v="2025-04-25T00:00:00"/>
    <s v="CUST-0003"/>
    <x v="8"/>
    <x v="0"/>
    <x v="3"/>
    <n v="3"/>
    <n v="0.15"/>
    <x v="148"/>
    <n v="10.98"/>
  </r>
  <r>
    <s v="ORD-00379"/>
    <d v="2025-04-25T00:00:00"/>
    <s v="CUST-0108"/>
    <x v="8"/>
    <x v="0"/>
    <x v="3"/>
    <n v="3"/>
    <n v="0"/>
    <x v="26"/>
    <n v="48.77"/>
  </r>
  <r>
    <s v="ORD-00380"/>
    <d v="2025-04-26T00:00:00"/>
    <s v="CUST-0144"/>
    <x v="6"/>
    <x v="2"/>
    <x v="2"/>
    <n v="5"/>
    <n v="0"/>
    <x v="95"/>
    <n v="345.23"/>
  </r>
  <r>
    <s v="ORD-00381"/>
    <d v="2025-04-26T00:00:00"/>
    <s v="CUST-0104"/>
    <x v="3"/>
    <x v="2"/>
    <x v="3"/>
    <n v="4"/>
    <n v="0.1"/>
    <x v="37"/>
    <n v="212.26"/>
  </r>
  <r>
    <s v="ORD-00382"/>
    <d v="2025-04-26T00:00:00"/>
    <s v="CUST-0231"/>
    <x v="7"/>
    <x v="3"/>
    <x v="3"/>
    <n v="2"/>
    <n v="0"/>
    <x v="58"/>
    <n v="4.3"/>
  </r>
  <r>
    <s v="ORD-00383"/>
    <d v="2025-04-26T00:00:00"/>
    <s v="CUST-0086"/>
    <x v="5"/>
    <x v="2"/>
    <x v="1"/>
    <n v="1"/>
    <n v="0.05"/>
    <x v="102"/>
    <n v="17.78"/>
  </r>
  <r>
    <s v="ORD-00384"/>
    <d v="2025-04-27T00:00:00"/>
    <s v="CUST-0014"/>
    <x v="7"/>
    <x v="3"/>
    <x v="0"/>
    <n v="2"/>
    <n v="0"/>
    <x v="58"/>
    <n v="3.69"/>
  </r>
  <r>
    <s v="ORD-00385"/>
    <d v="2025-04-27T00:00:00"/>
    <s v="CUST-0243"/>
    <x v="5"/>
    <x v="2"/>
    <x v="3"/>
    <n v="5"/>
    <n v="0.05"/>
    <x v="108"/>
    <n v="105.85"/>
  </r>
  <r>
    <s v="ORD-00386"/>
    <d v="2025-04-27T00:00:00"/>
    <s v="CUST-0132"/>
    <x v="0"/>
    <x v="0"/>
    <x v="2"/>
    <n v="3"/>
    <n v="0.2"/>
    <x v="116"/>
    <n v="17.55"/>
  </r>
  <r>
    <s v="ORD-00387"/>
    <d v="2025-04-28T00:00:00"/>
    <s v="CUST-0202"/>
    <x v="7"/>
    <x v="3"/>
    <x v="1"/>
    <n v="3"/>
    <n v="0"/>
    <x v="30"/>
    <n v="5.94"/>
  </r>
  <r>
    <s v="ORD-00388"/>
    <d v="2025-04-28T00:00:00"/>
    <s v="CUST-0119"/>
    <x v="1"/>
    <x v="1"/>
    <x v="3"/>
    <n v="4"/>
    <n v="0.15"/>
    <x v="68"/>
    <n v="152.21"/>
  </r>
  <r>
    <s v="ORD-00389"/>
    <d v="2025-04-28T00:00:00"/>
    <s v="CUST-0186"/>
    <x v="1"/>
    <x v="1"/>
    <x v="3"/>
    <n v="5"/>
    <n v="0.1"/>
    <x v="152"/>
    <n v="240.33"/>
  </r>
  <r>
    <s v="ORD-00390"/>
    <d v="2025-04-29T00:00:00"/>
    <s v="CUST-0158"/>
    <x v="1"/>
    <x v="1"/>
    <x v="1"/>
    <n v="4"/>
    <n v="0"/>
    <x v="9"/>
    <n v="203.53"/>
  </r>
  <r>
    <s v="ORD-00391"/>
    <d v="2025-04-29T00:00:00"/>
    <s v="CUST-0211"/>
    <x v="4"/>
    <x v="2"/>
    <x v="1"/>
    <n v="4"/>
    <n v="0.15"/>
    <x v="42"/>
    <n v="260.7"/>
  </r>
  <r>
    <s v="ORD-00392"/>
    <d v="2025-04-29T00:00:00"/>
    <s v="CUST-0117"/>
    <x v="9"/>
    <x v="0"/>
    <x v="3"/>
    <n v="5"/>
    <n v="0.1"/>
    <x v="26"/>
    <n v="12.54"/>
  </r>
  <r>
    <s v="ORD-00393"/>
    <d v="2025-04-30T00:00:00"/>
    <s v="CUST-0183"/>
    <x v="1"/>
    <x v="1"/>
    <x v="0"/>
    <n v="3"/>
    <n v="0.05"/>
    <x v="157"/>
    <n v="162.28"/>
  </r>
  <r>
    <s v="ORD-00394"/>
    <d v="2025-04-30T00:00:00"/>
    <s v="CUST-0251"/>
    <x v="0"/>
    <x v="0"/>
    <x v="2"/>
    <n v="1"/>
    <n v="0"/>
    <x v="112"/>
    <n v="18.47"/>
  </r>
  <r>
    <s v="ORD-00395"/>
    <d v="2025-04-30T00:00:00"/>
    <s v="CUST-0198"/>
    <x v="6"/>
    <x v="2"/>
    <x v="2"/>
    <n v="4"/>
    <n v="0.05"/>
    <x v="20"/>
    <n v="283.49"/>
  </r>
  <r>
    <s v="ORD-00396"/>
    <d v="2025-04-30T00:00:00"/>
    <s v="CUST-0124"/>
    <x v="1"/>
    <x v="1"/>
    <x v="3"/>
    <n v="3"/>
    <n v="0.1"/>
    <x v="28"/>
    <n v="44.16"/>
  </r>
  <r>
    <s v="ORD-00397"/>
    <d v="2025-05-01T00:00:00"/>
    <s v="CUST-0061"/>
    <x v="0"/>
    <x v="0"/>
    <x v="1"/>
    <n v="1"/>
    <n v="0.2"/>
    <x v="158"/>
    <n v="7.67"/>
  </r>
  <r>
    <s v="ORD-00398"/>
    <d v="2025-05-01T00:00:00"/>
    <s v="CUST-0254"/>
    <x v="5"/>
    <x v="2"/>
    <x v="1"/>
    <n v="3"/>
    <n v="0"/>
    <x v="76"/>
    <n v="90.04"/>
  </r>
  <r>
    <s v="ORD-00399"/>
    <d v="2025-05-01T00:00:00"/>
    <s v="CUST-0035"/>
    <x v="8"/>
    <x v="0"/>
    <x v="1"/>
    <n v="1"/>
    <n v="0.2"/>
    <x v="93"/>
    <n v="1.06"/>
  </r>
  <r>
    <s v="ORD-00400"/>
    <d v="2025-05-02T00:00:00"/>
    <s v="CUST-0049"/>
    <x v="7"/>
    <x v="3"/>
    <x v="0"/>
    <n v="3"/>
    <n v="0.05"/>
    <x v="135"/>
    <n v="5.7"/>
  </r>
  <r>
    <s v="ORD-00401"/>
    <d v="2025-05-02T00:00:00"/>
    <s v="CUST-0126"/>
    <x v="7"/>
    <x v="3"/>
    <x v="3"/>
    <n v="5"/>
    <n v="0.1"/>
    <x v="93"/>
    <n v="6.15"/>
  </r>
  <r>
    <s v="ORD-00402"/>
    <d v="2025-05-02T00:00:00"/>
    <s v="CUST-0100"/>
    <x v="0"/>
    <x v="0"/>
    <x v="1"/>
    <n v="2"/>
    <n v="0.2"/>
    <x v="101"/>
    <n v="2.64"/>
  </r>
  <r>
    <s v="ORD-00403"/>
    <d v="2025-05-03T00:00:00"/>
    <s v="CUST-0084"/>
    <x v="6"/>
    <x v="2"/>
    <x v="2"/>
    <n v="4"/>
    <n v="0"/>
    <x v="59"/>
    <n v="288.22000000000003"/>
  </r>
  <r>
    <s v="ORD-00404"/>
    <d v="2025-05-03T00:00:00"/>
    <s v="CUST-0106"/>
    <x v="6"/>
    <x v="2"/>
    <x v="1"/>
    <n v="4"/>
    <n v="0"/>
    <x v="59"/>
    <n v="310.51"/>
  </r>
  <r>
    <s v="ORD-00405"/>
    <d v="2025-05-03T00:00:00"/>
    <s v="CUST-0270"/>
    <x v="8"/>
    <x v="0"/>
    <x v="2"/>
    <n v="4"/>
    <n v="0.05"/>
    <x v="136"/>
    <n v="49.48"/>
  </r>
  <r>
    <s v="ORD-00406"/>
    <d v="2025-05-03T00:00:00"/>
    <s v="CUST-0228"/>
    <x v="7"/>
    <x v="3"/>
    <x v="2"/>
    <n v="2"/>
    <n v="0.15"/>
    <x v="159"/>
    <n v="2.82"/>
  </r>
  <r>
    <s v="ORD-00407"/>
    <d v="2025-05-04T00:00:00"/>
    <s v="CUST-0196"/>
    <x v="1"/>
    <x v="1"/>
    <x v="1"/>
    <n v="2"/>
    <n v="0.2"/>
    <x v="82"/>
    <n v="54.77"/>
  </r>
  <r>
    <s v="ORD-00408"/>
    <d v="2025-05-04T00:00:00"/>
    <s v="CUST-0160"/>
    <x v="3"/>
    <x v="2"/>
    <x v="2"/>
    <n v="3"/>
    <n v="0.05"/>
    <x v="60"/>
    <n v="292.56"/>
  </r>
  <r>
    <s v="ORD-00409"/>
    <d v="2025-05-04T00:00:00"/>
    <s v="CUST-0142"/>
    <x v="1"/>
    <x v="1"/>
    <x v="0"/>
    <n v="5"/>
    <n v="0"/>
    <x v="43"/>
    <n v="266.62"/>
  </r>
  <r>
    <s v="ORD-00410"/>
    <d v="2025-05-05T00:00:00"/>
    <s v="CUST-0087"/>
    <x v="2"/>
    <x v="1"/>
    <x v="1"/>
    <n v="2"/>
    <n v="0.2"/>
    <x v="160"/>
    <n v="66.44"/>
  </r>
  <r>
    <s v="ORD-00411"/>
    <d v="2025-05-05T00:00:00"/>
    <s v="CUST-0161"/>
    <x v="2"/>
    <x v="1"/>
    <x v="1"/>
    <n v="1"/>
    <n v="0.05"/>
    <x v="3"/>
    <n v="29.83"/>
  </r>
  <r>
    <s v="ORD-00412"/>
    <d v="2025-05-05T00:00:00"/>
    <s v="CUST-0086"/>
    <x v="2"/>
    <x v="1"/>
    <x v="3"/>
    <n v="4"/>
    <n v="0.05"/>
    <x v="36"/>
    <n v="274.76"/>
  </r>
  <r>
    <s v="ORD-00413"/>
    <d v="2025-05-06T00:00:00"/>
    <s v="CUST-0028"/>
    <x v="3"/>
    <x v="2"/>
    <x v="1"/>
    <n v="1"/>
    <n v="0.2"/>
    <x v="161"/>
    <n v="87.44"/>
  </r>
  <r>
    <s v="ORD-00414"/>
    <d v="2025-05-06T00:00:00"/>
    <s v="CUST-0198"/>
    <x v="6"/>
    <x v="2"/>
    <x v="1"/>
    <n v="1"/>
    <n v="0.1"/>
    <x v="56"/>
    <n v="63.28"/>
  </r>
  <r>
    <s v="ORD-00415"/>
    <d v="2025-05-06T00:00:00"/>
    <s v="CUST-0112"/>
    <x v="3"/>
    <x v="2"/>
    <x v="0"/>
    <n v="2"/>
    <n v="0"/>
    <x v="162"/>
    <n v="248.12"/>
  </r>
  <r>
    <s v="ORD-00416"/>
    <d v="2025-05-06T00:00:00"/>
    <s v="CUST-0125"/>
    <x v="5"/>
    <x v="2"/>
    <x v="3"/>
    <n v="2"/>
    <n v="0.05"/>
    <x v="7"/>
    <n v="39.619999999999997"/>
  </r>
  <r>
    <s v="ORD-00417"/>
    <d v="2025-05-07T00:00:00"/>
    <s v="CUST-0059"/>
    <x v="8"/>
    <x v="0"/>
    <x v="1"/>
    <n v="4"/>
    <n v="0"/>
    <x v="25"/>
    <n v="49.95"/>
  </r>
  <r>
    <s v="ORD-00418"/>
    <d v="2025-05-07T00:00:00"/>
    <s v="CUST-0277"/>
    <x v="4"/>
    <x v="2"/>
    <x v="2"/>
    <n v="3"/>
    <n v="0.15"/>
    <x v="13"/>
    <n v="284.58999999999997"/>
  </r>
  <r>
    <s v="ORD-00419"/>
    <d v="2025-05-07T00:00:00"/>
    <s v="CUST-0232"/>
    <x v="7"/>
    <x v="3"/>
    <x v="0"/>
    <n v="4"/>
    <n v="0.15"/>
    <x v="98"/>
    <n v="4.04"/>
  </r>
  <r>
    <s v="ORD-00420"/>
    <d v="2025-05-08T00:00:00"/>
    <s v="CUST-0168"/>
    <x v="8"/>
    <x v="0"/>
    <x v="1"/>
    <n v="4"/>
    <n v="0.15"/>
    <x v="163"/>
    <n v="32.799999999999997"/>
  </r>
  <r>
    <s v="ORD-00421"/>
    <d v="2025-05-08T00:00:00"/>
    <s v="CUST-0254"/>
    <x v="7"/>
    <x v="3"/>
    <x v="3"/>
    <n v="1"/>
    <n v="0"/>
    <x v="120"/>
    <n v="2.94"/>
  </r>
  <r>
    <s v="ORD-00422"/>
    <d v="2025-05-08T00:00:00"/>
    <s v="CUST-0262"/>
    <x v="9"/>
    <x v="0"/>
    <x v="3"/>
    <n v="4"/>
    <n v="0.1"/>
    <x v="164"/>
    <n v="21.65"/>
  </r>
  <r>
    <s v="ORD-00423"/>
    <d v="2025-05-09T00:00:00"/>
    <s v="CUST-0197"/>
    <x v="1"/>
    <x v="1"/>
    <x v="3"/>
    <n v="1"/>
    <n v="0.05"/>
    <x v="136"/>
    <n v="56.04"/>
  </r>
  <r>
    <s v="ORD-00424"/>
    <d v="2025-05-09T00:00:00"/>
    <s v="CUST-0297"/>
    <x v="9"/>
    <x v="0"/>
    <x v="2"/>
    <n v="4"/>
    <n v="0.1"/>
    <x v="164"/>
    <n v="26.71"/>
  </r>
  <r>
    <s v="ORD-00425"/>
    <d v="2025-05-09T00:00:00"/>
    <s v="CUST-0238"/>
    <x v="2"/>
    <x v="1"/>
    <x v="2"/>
    <n v="5"/>
    <n v="0.05"/>
    <x v="165"/>
    <n v="221.61"/>
  </r>
  <r>
    <s v="ORD-00426"/>
    <d v="2025-05-10T00:00:00"/>
    <s v="CUST-0263"/>
    <x v="5"/>
    <x v="2"/>
    <x v="2"/>
    <n v="2"/>
    <n v="0.05"/>
    <x v="7"/>
    <n v="34.950000000000003"/>
  </r>
  <r>
    <s v="ORD-00427"/>
    <d v="2025-05-10T00:00:00"/>
    <s v="CUST-0040"/>
    <x v="4"/>
    <x v="2"/>
    <x v="1"/>
    <n v="5"/>
    <n v="0.2"/>
    <x v="16"/>
    <n v="311.55"/>
  </r>
  <r>
    <s v="ORD-00428"/>
    <d v="2025-05-10T00:00:00"/>
    <s v="CUST-0101"/>
    <x v="3"/>
    <x v="2"/>
    <x v="2"/>
    <n v="4"/>
    <n v="0"/>
    <x v="53"/>
    <n v="892.2"/>
  </r>
  <r>
    <s v="ORD-00429"/>
    <d v="2025-05-10T00:00:00"/>
    <s v="CUST-0275"/>
    <x v="2"/>
    <x v="1"/>
    <x v="2"/>
    <n v="4"/>
    <n v="0.15"/>
    <x v="49"/>
    <n v="32.07"/>
  </r>
  <r>
    <s v="ORD-00430"/>
    <d v="2025-05-11T00:00:00"/>
    <s v="CUST-0129"/>
    <x v="6"/>
    <x v="2"/>
    <x v="3"/>
    <n v="4"/>
    <n v="0.1"/>
    <x v="166"/>
    <n v="207.42"/>
  </r>
  <r>
    <s v="ORD-00431"/>
    <d v="2025-05-11T00:00:00"/>
    <s v="CUST-0260"/>
    <x v="0"/>
    <x v="0"/>
    <x v="2"/>
    <n v="5"/>
    <n v="0.1"/>
    <x v="15"/>
    <n v="42.09"/>
  </r>
  <r>
    <s v="ORD-00432"/>
    <d v="2025-05-11T00:00:00"/>
    <s v="CUST-0283"/>
    <x v="8"/>
    <x v="0"/>
    <x v="0"/>
    <n v="2"/>
    <n v="0.05"/>
    <x v="75"/>
    <n v="26.78"/>
  </r>
  <r>
    <s v="ORD-00433"/>
    <d v="2025-05-12T00:00:00"/>
    <s v="CUST-0154"/>
    <x v="6"/>
    <x v="2"/>
    <x v="1"/>
    <n v="3"/>
    <n v="0.1"/>
    <x v="110"/>
    <n v="98.01"/>
  </r>
  <r>
    <s v="ORD-00434"/>
    <d v="2025-05-12T00:00:00"/>
    <s v="CUST-0134"/>
    <x v="2"/>
    <x v="1"/>
    <x v="3"/>
    <n v="3"/>
    <n v="0"/>
    <x v="149"/>
    <n v="137.52000000000001"/>
  </r>
  <r>
    <s v="ORD-00435"/>
    <d v="2025-05-12T00:00:00"/>
    <s v="CUST-0213"/>
    <x v="6"/>
    <x v="2"/>
    <x v="2"/>
    <n v="3"/>
    <n v="0.2"/>
    <x v="125"/>
    <n v="35.76"/>
  </r>
  <r>
    <s v="ORD-00436"/>
    <d v="2025-05-13T00:00:00"/>
    <s v="CUST-0277"/>
    <x v="5"/>
    <x v="2"/>
    <x v="2"/>
    <n v="3"/>
    <n v="0.15"/>
    <x v="97"/>
    <n v="29.98"/>
  </r>
  <r>
    <s v="ORD-00437"/>
    <d v="2025-05-13T00:00:00"/>
    <s v="CUST-0180"/>
    <x v="9"/>
    <x v="0"/>
    <x v="1"/>
    <n v="2"/>
    <n v="0"/>
    <x v="167"/>
    <n v="19.920000000000002"/>
  </r>
  <r>
    <s v="ORD-00438"/>
    <d v="2025-05-13T00:00:00"/>
    <s v="CUST-0279"/>
    <x v="6"/>
    <x v="2"/>
    <x v="2"/>
    <n v="3"/>
    <n v="0.05"/>
    <x v="31"/>
    <n v="129.77000000000001"/>
  </r>
  <r>
    <s v="ORD-00439"/>
    <d v="2025-05-13T00:00:00"/>
    <s v="CUST-0271"/>
    <x v="8"/>
    <x v="0"/>
    <x v="3"/>
    <n v="1"/>
    <n v="0.15"/>
    <x v="168"/>
    <n v="6.11"/>
  </r>
  <r>
    <s v="ORD-00440"/>
    <d v="2025-05-14T00:00:00"/>
    <s v="CUST-0066"/>
    <x v="4"/>
    <x v="2"/>
    <x v="3"/>
    <n v="1"/>
    <n v="0"/>
    <x v="40"/>
    <n v="122.38"/>
  </r>
  <r>
    <s v="ORD-00441"/>
    <d v="2025-05-14T00:00:00"/>
    <s v="CUST-0148"/>
    <x v="9"/>
    <x v="0"/>
    <x v="2"/>
    <n v="4"/>
    <n v="0.1"/>
    <x v="164"/>
    <n v="29.59"/>
  </r>
  <r>
    <s v="ORD-00442"/>
    <d v="2025-05-14T00:00:00"/>
    <s v="CUST-0294"/>
    <x v="3"/>
    <x v="2"/>
    <x v="3"/>
    <n v="3"/>
    <n v="0.1"/>
    <x v="4"/>
    <n v="346.06"/>
  </r>
  <r>
    <s v="ORD-00443"/>
    <d v="2025-05-15T00:00:00"/>
    <s v="CUST-0142"/>
    <x v="2"/>
    <x v="1"/>
    <x v="2"/>
    <n v="3"/>
    <n v="0.15"/>
    <x v="63"/>
    <n v="97.9"/>
  </r>
  <r>
    <s v="ORD-00444"/>
    <d v="2025-05-15T00:00:00"/>
    <s v="CUST-0210"/>
    <x v="3"/>
    <x v="2"/>
    <x v="3"/>
    <n v="1"/>
    <n v="0.15"/>
    <x v="169"/>
    <n v="63.05"/>
  </r>
  <r>
    <s v="ORD-00445"/>
    <d v="2025-05-15T00:00:00"/>
    <s v="CUST-0046"/>
    <x v="3"/>
    <x v="2"/>
    <x v="1"/>
    <n v="3"/>
    <n v="0"/>
    <x v="170"/>
    <n v="675.06"/>
  </r>
  <r>
    <s v="ORD-00446"/>
    <d v="2025-05-16T00:00:00"/>
    <s v="CUST-0030"/>
    <x v="1"/>
    <x v="1"/>
    <x v="3"/>
    <n v="5"/>
    <n v="0.1"/>
    <x v="152"/>
    <n v="183.53"/>
  </r>
  <r>
    <s v="ORD-00447"/>
    <d v="2025-05-16T00:00:00"/>
    <s v="CUST-0154"/>
    <x v="1"/>
    <x v="1"/>
    <x v="1"/>
    <n v="1"/>
    <n v="0"/>
    <x v="25"/>
    <n v="41.76"/>
  </r>
  <r>
    <s v="ORD-00448"/>
    <d v="2025-05-16T00:00:00"/>
    <s v="CUST-0275"/>
    <x v="0"/>
    <x v="0"/>
    <x v="0"/>
    <n v="1"/>
    <n v="0.05"/>
    <x v="156"/>
    <n v="8.1300000000000008"/>
  </r>
  <r>
    <s v="ORD-00449"/>
    <d v="2025-05-17T00:00:00"/>
    <s v="CUST-0251"/>
    <x v="1"/>
    <x v="1"/>
    <x v="2"/>
    <n v="5"/>
    <n v="0.2"/>
    <x v="9"/>
    <n v="31.2"/>
  </r>
  <r>
    <s v="ORD-00450"/>
    <d v="2025-05-17T00:00:00"/>
    <s v="CUST-0120"/>
    <x v="0"/>
    <x v="0"/>
    <x v="1"/>
    <n v="1"/>
    <n v="0.05"/>
    <x v="156"/>
    <n v="8.5500000000000007"/>
  </r>
  <r>
    <s v="ORD-00451"/>
    <d v="2025-05-17T00:00:00"/>
    <s v="CUST-0265"/>
    <x v="2"/>
    <x v="1"/>
    <x v="2"/>
    <n v="5"/>
    <n v="0"/>
    <x v="55"/>
    <n v="360.07"/>
  </r>
  <r>
    <s v="ORD-00452"/>
    <d v="2025-05-17T00:00:00"/>
    <s v="CUST-0227"/>
    <x v="3"/>
    <x v="2"/>
    <x v="0"/>
    <n v="4"/>
    <n v="0.05"/>
    <x v="12"/>
    <n v="546.85"/>
  </r>
  <r>
    <s v="ORD-00453"/>
    <d v="2025-05-18T00:00:00"/>
    <s v="CUST-0002"/>
    <x v="6"/>
    <x v="2"/>
    <x v="0"/>
    <n v="4"/>
    <n v="0"/>
    <x v="59"/>
    <n v="196.37"/>
  </r>
  <r>
    <s v="ORD-00454"/>
    <d v="2025-05-18T00:00:00"/>
    <s v="CUST-0016"/>
    <x v="8"/>
    <x v="0"/>
    <x v="0"/>
    <n v="1"/>
    <n v="0.2"/>
    <x v="93"/>
    <n v="2.46"/>
  </r>
  <r>
    <s v="ORD-00455"/>
    <d v="2025-05-18T00:00:00"/>
    <s v="CUST-0050"/>
    <x v="3"/>
    <x v="2"/>
    <x v="0"/>
    <n v="4"/>
    <n v="0.1"/>
    <x v="37"/>
    <n v="210.37"/>
  </r>
  <r>
    <s v="ORD-00456"/>
    <d v="2025-05-19T00:00:00"/>
    <s v="CUST-0172"/>
    <x v="2"/>
    <x v="1"/>
    <x v="0"/>
    <n v="5"/>
    <n v="0.05"/>
    <x v="165"/>
    <n v="314.55"/>
  </r>
  <r>
    <s v="ORD-00457"/>
    <d v="2025-05-19T00:00:00"/>
    <s v="CUST-0035"/>
    <x v="2"/>
    <x v="1"/>
    <x v="0"/>
    <n v="5"/>
    <n v="0.1"/>
    <x v="140"/>
    <n v="300.82"/>
  </r>
  <r>
    <s v="ORD-00458"/>
    <d v="2025-05-19T00:00:00"/>
    <s v="CUST-0076"/>
    <x v="5"/>
    <x v="2"/>
    <x v="1"/>
    <n v="1"/>
    <n v="0"/>
    <x v="171"/>
    <n v="19.29"/>
  </r>
  <r>
    <s v="ORD-00459"/>
    <d v="2025-05-20T00:00:00"/>
    <s v="CUST-0232"/>
    <x v="6"/>
    <x v="2"/>
    <x v="0"/>
    <n v="3"/>
    <n v="0.15"/>
    <x v="68"/>
    <n v="101.75"/>
  </r>
  <r>
    <s v="ORD-00460"/>
    <d v="2025-05-20T00:00:00"/>
    <s v="CUST-0028"/>
    <x v="4"/>
    <x v="2"/>
    <x v="2"/>
    <n v="4"/>
    <n v="0.15"/>
    <x v="42"/>
    <n v="204.16"/>
  </r>
  <r>
    <s v="ORD-00461"/>
    <d v="2025-05-20T00:00:00"/>
    <s v="CUST-0194"/>
    <x v="8"/>
    <x v="0"/>
    <x v="2"/>
    <n v="4"/>
    <n v="0.05"/>
    <x v="136"/>
    <n v="35.92"/>
  </r>
  <r>
    <s v="ORD-00462"/>
    <d v="2025-05-20T00:00:00"/>
    <s v="CUST-0087"/>
    <x v="5"/>
    <x v="2"/>
    <x v="1"/>
    <n v="3"/>
    <n v="0.1"/>
    <x v="56"/>
    <n v="42.9"/>
  </r>
  <r>
    <s v="ORD-00463"/>
    <d v="2025-05-21T00:00:00"/>
    <s v="CUST-0262"/>
    <x v="8"/>
    <x v="0"/>
    <x v="1"/>
    <n v="1"/>
    <n v="0"/>
    <x v="172"/>
    <n v="16.739999999999998"/>
  </r>
  <r>
    <s v="ORD-00464"/>
    <d v="2025-05-21T00:00:00"/>
    <s v="CUST-0093"/>
    <x v="9"/>
    <x v="0"/>
    <x v="0"/>
    <n v="3"/>
    <n v="0.05"/>
    <x v="75"/>
    <n v="12.21"/>
  </r>
  <r>
    <s v="ORD-00465"/>
    <d v="2025-05-21T00:00:00"/>
    <s v="CUST-0237"/>
    <x v="3"/>
    <x v="2"/>
    <x v="2"/>
    <n v="3"/>
    <n v="0"/>
    <x v="170"/>
    <n v="502.8"/>
  </r>
  <r>
    <s v="ORD-00466"/>
    <d v="2025-05-22T00:00:00"/>
    <s v="CUST-0190"/>
    <x v="9"/>
    <x v="0"/>
    <x v="2"/>
    <n v="1"/>
    <n v="0.1"/>
    <x v="29"/>
    <n v="8.3699999999999992"/>
  </r>
  <r>
    <s v="ORD-00467"/>
    <d v="2025-05-22T00:00:00"/>
    <s v="CUST-0245"/>
    <x v="1"/>
    <x v="1"/>
    <x v="0"/>
    <n v="4"/>
    <n v="0.05"/>
    <x v="31"/>
    <n v="170.95"/>
  </r>
  <r>
    <s v="ORD-00468"/>
    <d v="2025-05-22T00:00:00"/>
    <s v="CUST-0037"/>
    <x v="7"/>
    <x v="3"/>
    <x v="0"/>
    <n v="3"/>
    <n v="0"/>
    <x v="30"/>
    <n v="7.79"/>
  </r>
  <r>
    <s v="ORD-00469"/>
    <d v="2025-05-23T00:00:00"/>
    <s v="CUST-0183"/>
    <x v="6"/>
    <x v="2"/>
    <x v="0"/>
    <n v="1"/>
    <n v="0"/>
    <x v="76"/>
    <n v="74.63"/>
  </r>
  <r>
    <s v="ORD-00470"/>
    <d v="2025-05-23T00:00:00"/>
    <s v="CUST-0127"/>
    <x v="0"/>
    <x v="0"/>
    <x v="1"/>
    <n v="5"/>
    <n v="0.1"/>
    <x v="15"/>
    <n v="74.53"/>
  </r>
  <r>
    <s v="ORD-00471"/>
    <d v="2025-05-23T00:00:00"/>
    <s v="CUST-0109"/>
    <x v="3"/>
    <x v="2"/>
    <x v="2"/>
    <n v="4"/>
    <n v="0.1"/>
    <x v="37"/>
    <n v="269.23"/>
  </r>
  <r>
    <s v="ORD-00472"/>
    <d v="2025-05-23T00:00:00"/>
    <s v="CUST-0008"/>
    <x v="3"/>
    <x v="2"/>
    <x v="0"/>
    <n v="5"/>
    <n v="0.1"/>
    <x v="71"/>
    <n v="289.88"/>
  </r>
  <r>
    <s v="ORD-00473"/>
    <d v="2025-05-24T00:00:00"/>
    <s v="CUST-0146"/>
    <x v="0"/>
    <x v="0"/>
    <x v="1"/>
    <n v="5"/>
    <n v="0.15"/>
    <x v="142"/>
    <n v="61.02"/>
  </r>
  <r>
    <s v="ORD-00474"/>
    <d v="2025-05-24T00:00:00"/>
    <s v="CUST-0147"/>
    <x v="1"/>
    <x v="1"/>
    <x v="3"/>
    <n v="1"/>
    <n v="0.05"/>
    <x v="136"/>
    <n v="46.11"/>
  </r>
  <r>
    <s v="ORD-00475"/>
    <d v="2025-05-24T00:00:00"/>
    <s v="CUST-0243"/>
    <x v="9"/>
    <x v="0"/>
    <x v="3"/>
    <n v="4"/>
    <n v="0.2"/>
    <x v="173"/>
    <n v="11.9"/>
  </r>
  <r>
    <s v="ORD-00476"/>
    <d v="2025-05-25T00:00:00"/>
    <s v="CUST-0266"/>
    <x v="6"/>
    <x v="2"/>
    <x v="1"/>
    <n v="2"/>
    <n v="0.1"/>
    <x v="33"/>
    <n v="69.25"/>
  </r>
  <r>
    <s v="ORD-00477"/>
    <d v="2025-05-25T00:00:00"/>
    <s v="CUST-0028"/>
    <x v="5"/>
    <x v="2"/>
    <x v="3"/>
    <n v="3"/>
    <n v="0.2"/>
    <x v="145"/>
    <n v="13.8"/>
  </r>
  <r>
    <s v="ORD-00478"/>
    <d v="2025-05-25T00:00:00"/>
    <s v="CUST-0296"/>
    <x v="1"/>
    <x v="1"/>
    <x v="1"/>
    <n v="3"/>
    <n v="0.1"/>
    <x v="28"/>
    <n v="93.96"/>
  </r>
  <r>
    <s v="ORD-00479"/>
    <d v="2025-05-26T00:00:00"/>
    <s v="CUST-0213"/>
    <x v="3"/>
    <x v="2"/>
    <x v="1"/>
    <n v="1"/>
    <n v="0.05"/>
    <x v="27"/>
    <n v="176.14"/>
  </r>
  <r>
    <s v="ORD-00480"/>
    <d v="2025-05-26T00:00:00"/>
    <s v="CUST-0284"/>
    <x v="3"/>
    <x v="2"/>
    <x v="0"/>
    <n v="1"/>
    <n v="0.1"/>
    <x v="94"/>
    <n v="97.2"/>
  </r>
  <r>
    <s v="ORD-00481"/>
    <d v="2025-05-26T00:00:00"/>
    <s v="CUST-0073"/>
    <x v="8"/>
    <x v="0"/>
    <x v="0"/>
    <n v="3"/>
    <n v="0.05"/>
    <x v="174"/>
    <n v="26.38"/>
  </r>
  <r>
    <s v="ORD-00482"/>
    <d v="2025-05-27T00:00:00"/>
    <s v="CUST-0288"/>
    <x v="8"/>
    <x v="0"/>
    <x v="3"/>
    <n v="2"/>
    <n v="0.1"/>
    <x v="86"/>
    <n v="21.13"/>
  </r>
  <r>
    <s v="ORD-00483"/>
    <d v="2025-05-27T00:00:00"/>
    <s v="CUST-0023"/>
    <x v="4"/>
    <x v="2"/>
    <x v="2"/>
    <n v="4"/>
    <n v="0.1"/>
    <x v="5"/>
    <n v="256.26"/>
  </r>
  <r>
    <s v="ORD-00484"/>
    <d v="2025-05-27T00:00:00"/>
    <s v="CUST-0167"/>
    <x v="7"/>
    <x v="3"/>
    <x v="1"/>
    <n v="3"/>
    <n v="0.1"/>
    <x v="132"/>
    <n v="3.33"/>
  </r>
  <r>
    <s v="ORD-00485"/>
    <d v="2025-05-27T00:00:00"/>
    <s v="CUST-0056"/>
    <x v="9"/>
    <x v="0"/>
    <x v="0"/>
    <n v="4"/>
    <n v="0.05"/>
    <x v="83"/>
    <n v="36.18"/>
  </r>
  <r>
    <s v="ORD-00486"/>
    <d v="2025-05-28T00:00:00"/>
    <s v="CUST-0126"/>
    <x v="3"/>
    <x v="2"/>
    <x v="3"/>
    <n v="4"/>
    <n v="0.05"/>
    <x v="12"/>
    <n v="589.04"/>
  </r>
  <r>
    <s v="ORD-00487"/>
    <d v="2025-05-28T00:00:00"/>
    <s v="CUST-0176"/>
    <x v="3"/>
    <x v="2"/>
    <x v="2"/>
    <n v="1"/>
    <n v="0.1"/>
    <x v="94"/>
    <n v="103.25"/>
  </r>
  <r>
    <s v="ORD-00488"/>
    <d v="2025-05-28T00:00:00"/>
    <s v="CUST-0113"/>
    <x v="9"/>
    <x v="0"/>
    <x v="0"/>
    <n v="4"/>
    <n v="0.1"/>
    <x v="164"/>
    <n v="31.07"/>
  </r>
  <r>
    <s v="ORD-00489"/>
    <d v="2025-05-29T00:00:00"/>
    <s v="CUST-0067"/>
    <x v="5"/>
    <x v="2"/>
    <x v="3"/>
    <n v="5"/>
    <n v="0"/>
    <x v="57"/>
    <n v="73.8"/>
  </r>
  <r>
    <s v="ORD-00490"/>
    <d v="2025-05-29T00:00:00"/>
    <s v="CUST-0234"/>
    <x v="1"/>
    <x v="1"/>
    <x v="3"/>
    <n v="2"/>
    <n v="0"/>
    <x v="10"/>
    <n v="134.57"/>
  </r>
  <r>
    <s v="ORD-00491"/>
    <d v="2025-05-29T00:00:00"/>
    <s v="CUST-0122"/>
    <x v="5"/>
    <x v="2"/>
    <x v="0"/>
    <n v="3"/>
    <n v="0"/>
    <x v="76"/>
    <n v="67.78"/>
  </r>
  <r>
    <s v="ORD-00492"/>
    <d v="2025-05-30T00:00:00"/>
    <s v="CUST-0134"/>
    <x v="2"/>
    <x v="1"/>
    <x v="2"/>
    <n v="2"/>
    <n v="0.05"/>
    <x v="124"/>
    <n v="103.49"/>
  </r>
  <r>
    <s v="ORD-00493"/>
    <d v="2025-05-30T00:00:00"/>
    <s v="CUST-0059"/>
    <x v="5"/>
    <x v="2"/>
    <x v="3"/>
    <n v="4"/>
    <n v="0.1"/>
    <x v="82"/>
    <n v="83.96"/>
  </r>
  <r>
    <s v="ORD-00494"/>
    <d v="2025-05-30T00:00:00"/>
    <s v="CUST-0068"/>
    <x v="1"/>
    <x v="1"/>
    <x v="0"/>
    <n v="1"/>
    <n v="0.05"/>
    <x v="136"/>
    <n v="47.15"/>
  </r>
  <r>
    <s v="ORD-00495"/>
    <d v="2025-05-30T00:00:00"/>
    <s v="CUST-0042"/>
    <x v="2"/>
    <x v="1"/>
    <x v="1"/>
    <n v="1"/>
    <n v="0.1"/>
    <x v="39"/>
    <n v="37.76"/>
  </r>
  <r>
    <s v="ORD-00496"/>
    <d v="2025-05-31T00:00:00"/>
    <s v="CUST-0021"/>
    <x v="4"/>
    <x v="2"/>
    <x v="2"/>
    <n v="2"/>
    <n v="0"/>
    <x v="117"/>
    <n v="311.51"/>
  </r>
  <r>
    <s v="ORD-00497"/>
    <d v="2025-05-31T00:00:00"/>
    <s v="CUST-0280"/>
    <x v="0"/>
    <x v="0"/>
    <x v="0"/>
    <n v="4"/>
    <n v="0.05"/>
    <x v="3"/>
    <n v="47.06"/>
  </r>
  <r>
    <s v="ORD-00498"/>
    <d v="2025-05-31T00:00:00"/>
    <s v="CUST-0273"/>
    <x v="4"/>
    <x v="2"/>
    <x v="3"/>
    <n v="5"/>
    <n v="0.1"/>
    <x v="147"/>
    <n v="455.55"/>
  </r>
  <r>
    <s v="ORD-00499"/>
    <d v="2025-06-01T00:00:00"/>
    <s v="CUST-0008"/>
    <x v="5"/>
    <x v="2"/>
    <x v="2"/>
    <n v="1"/>
    <n v="0.15"/>
    <x v="139"/>
    <n v="11.02"/>
  </r>
  <r>
    <s v="ORD-00500"/>
    <d v="2025-06-01T00:00:00"/>
    <s v="CUST-0064"/>
    <x v="2"/>
    <x v="1"/>
    <x v="3"/>
    <n v="1"/>
    <n v="0.1"/>
    <x v="39"/>
    <n v="21.69"/>
  </r>
  <r>
    <s v="ORD-00501"/>
    <d v="2025-06-01T00:00:00"/>
    <s v="CUST-0140"/>
    <x v="2"/>
    <x v="1"/>
    <x v="1"/>
    <n v="2"/>
    <n v="0.1"/>
    <x v="146"/>
    <n v="76.260000000000005"/>
  </r>
  <r>
    <s v="ORD-00502"/>
    <d v="2025-06-02T00:00:00"/>
    <s v="CUST-0184"/>
    <x v="2"/>
    <x v="1"/>
    <x v="2"/>
    <n v="3"/>
    <n v="0.1"/>
    <x v="41"/>
    <n v="177.18"/>
  </r>
  <r>
    <s v="ORD-00503"/>
    <d v="2025-06-02T00:00:00"/>
    <s v="CUST-0147"/>
    <x v="6"/>
    <x v="2"/>
    <x v="1"/>
    <n v="2"/>
    <n v="0.2"/>
    <x v="155"/>
    <n v="72.12"/>
  </r>
  <r>
    <s v="ORD-00504"/>
    <d v="2025-06-02T00:00:00"/>
    <s v="CUST-0216"/>
    <x v="1"/>
    <x v="1"/>
    <x v="3"/>
    <n v="2"/>
    <n v="0.05"/>
    <x v="73"/>
    <n v="81.180000000000007"/>
  </r>
  <r>
    <s v="ORD-00505"/>
    <d v="2025-06-03T00:00:00"/>
    <s v="CUST-0219"/>
    <x v="6"/>
    <x v="2"/>
    <x v="1"/>
    <n v="3"/>
    <n v="0.1"/>
    <x v="110"/>
    <n v="76.959999999999994"/>
  </r>
  <r>
    <s v="ORD-00506"/>
    <d v="2025-06-03T00:00:00"/>
    <s v="CUST-0116"/>
    <x v="4"/>
    <x v="2"/>
    <x v="0"/>
    <n v="4"/>
    <n v="0.15"/>
    <x v="42"/>
    <n v="269.41000000000003"/>
  </r>
  <r>
    <s v="ORD-00507"/>
    <d v="2025-06-03T00:00:00"/>
    <s v="CUST-0147"/>
    <x v="3"/>
    <x v="2"/>
    <x v="3"/>
    <n v="1"/>
    <n v="0.15"/>
    <x v="169"/>
    <n v="33.4"/>
  </r>
  <r>
    <s v="ORD-00508"/>
    <d v="2025-06-03T00:00:00"/>
    <s v="CUST-0189"/>
    <x v="8"/>
    <x v="0"/>
    <x v="3"/>
    <n v="3"/>
    <n v="0.05"/>
    <x v="174"/>
    <n v="30.77"/>
  </r>
  <r>
    <s v="ORD-00509"/>
    <d v="2025-06-04T00:00:00"/>
    <s v="CUST-0171"/>
    <x v="0"/>
    <x v="0"/>
    <x v="3"/>
    <n v="2"/>
    <n v="0.05"/>
    <x v="78"/>
    <n v="21.17"/>
  </r>
  <r>
    <s v="ORD-00510"/>
    <d v="2025-06-04T00:00:00"/>
    <s v="CUST-0204"/>
    <x v="8"/>
    <x v="0"/>
    <x v="1"/>
    <n v="2"/>
    <n v="0"/>
    <x v="106"/>
    <n v="28.81"/>
  </r>
  <r>
    <s v="ORD-00511"/>
    <d v="2025-06-04T00:00:00"/>
    <s v="CUST-0163"/>
    <x v="6"/>
    <x v="2"/>
    <x v="3"/>
    <n v="3"/>
    <n v="0"/>
    <x v="9"/>
    <n v="135.72999999999999"/>
  </r>
  <r>
    <s v="ORD-00512"/>
    <d v="2025-06-05T00:00:00"/>
    <s v="CUST-0135"/>
    <x v="5"/>
    <x v="2"/>
    <x v="3"/>
    <n v="2"/>
    <n v="0.15"/>
    <x v="150"/>
    <n v="27.37"/>
  </r>
  <r>
    <s v="ORD-00513"/>
    <d v="2025-06-05T00:00:00"/>
    <s v="CUST-0037"/>
    <x v="3"/>
    <x v="2"/>
    <x v="0"/>
    <n v="4"/>
    <n v="0.15"/>
    <x v="121"/>
    <n v="212.95"/>
  </r>
  <r>
    <s v="ORD-00514"/>
    <d v="2025-06-05T00:00:00"/>
    <s v="CUST-0257"/>
    <x v="9"/>
    <x v="0"/>
    <x v="2"/>
    <n v="5"/>
    <n v="0.15"/>
    <x v="118"/>
    <n v="10.220000000000001"/>
  </r>
  <r>
    <s v="ORD-00515"/>
    <d v="2025-06-06T00:00:00"/>
    <s v="CUST-0290"/>
    <x v="4"/>
    <x v="2"/>
    <x v="1"/>
    <n v="2"/>
    <n v="0"/>
    <x v="117"/>
    <n v="300.18"/>
  </r>
  <r>
    <s v="ORD-00516"/>
    <d v="2025-06-06T00:00:00"/>
    <s v="CUST-0188"/>
    <x v="1"/>
    <x v="1"/>
    <x v="0"/>
    <n v="3"/>
    <n v="0.05"/>
    <x v="157"/>
    <n v="166.21"/>
  </r>
  <r>
    <s v="ORD-00517"/>
    <d v="2025-06-06T00:00:00"/>
    <s v="CUST-0016"/>
    <x v="5"/>
    <x v="2"/>
    <x v="1"/>
    <n v="5"/>
    <n v="0.2"/>
    <x v="127"/>
    <n v="30.19"/>
  </r>
  <r>
    <s v="ORD-00518"/>
    <d v="2025-06-06T00:00:00"/>
    <s v="CUST-0144"/>
    <x v="9"/>
    <x v="0"/>
    <x v="1"/>
    <n v="1"/>
    <n v="0.1"/>
    <x v="29"/>
    <n v="3.63"/>
  </r>
  <r>
    <s v="ORD-00519"/>
    <d v="2025-06-07T00:00:00"/>
    <s v="CUST-0290"/>
    <x v="5"/>
    <x v="2"/>
    <x v="3"/>
    <n v="2"/>
    <n v="0.1"/>
    <x v="81"/>
    <n v="23.46"/>
  </r>
  <r>
    <s v="ORD-00520"/>
    <d v="2025-06-07T00:00:00"/>
    <s v="CUST-0295"/>
    <x v="4"/>
    <x v="2"/>
    <x v="0"/>
    <n v="3"/>
    <n v="0"/>
    <x v="175"/>
    <n v="395.02"/>
  </r>
  <r>
    <s v="ORD-00521"/>
    <d v="2025-06-07T00:00:00"/>
    <s v="CUST-0053"/>
    <x v="3"/>
    <x v="2"/>
    <x v="3"/>
    <n v="1"/>
    <n v="0"/>
    <x v="176"/>
    <n v="242.62"/>
  </r>
  <r>
    <s v="ORD-00522"/>
    <d v="2025-06-08T00:00:00"/>
    <s v="CUST-0023"/>
    <x v="6"/>
    <x v="2"/>
    <x v="2"/>
    <n v="1"/>
    <n v="0"/>
    <x v="76"/>
    <n v="48.54"/>
  </r>
  <r>
    <s v="ORD-00523"/>
    <d v="2025-06-08T00:00:00"/>
    <s v="CUST-0148"/>
    <x v="7"/>
    <x v="3"/>
    <x v="2"/>
    <n v="2"/>
    <n v="0.15"/>
    <x v="159"/>
    <n v="1.91"/>
  </r>
  <r>
    <s v="ORD-00524"/>
    <d v="2025-06-08T00:00:00"/>
    <s v="CUST-0022"/>
    <x v="5"/>
    <x v="2"/>
    <x v="1"/>
    <n v="2"/>
    <n v="0.1"/>
    <x v="81"/>
    <n v="18.48"/>
  </r>
  <r>
    <s v="ORD-00525"/>
    <d v="2025-06-09T00:00:00"/>
    <s v="CUST-0012"/>
    <x v="1"/>
    <x v="1"/>
    <x v="3"/>
    <n v="5"/>
    <n v="0.2"/>
    <x v="9"/>
    <n v="32.28"/>
  </r>
  <r>
    <s v="ORD-00526"/>
    <d v="2025-06-09T00:00:00"/>
    <s v="CUST-0204"/>
    <x v="5"/>
    <x v="2"/>
    <x v="0"/>
    <n v="2"/>
    <n v="0.15"/>
    <x v="150"/>
    <n v="13.7"/>
  </r>
  <r>
    <s v="ORD-00527"/>
    <d v="2025-06-09T00:00:00"/>
    <s v="CUST-0096"/>
    <x v="6"/>
    <x v="2"/>
    <x v="1"/>
    <n v="1"/>
    <n v="0.1"/>
    <x v="56"/>
    <n v="64.95"/>
  </r>
  <r>
    <s v="ORD-00528"/>
    <d v="2025-06-09T00:00:00"/>
    <s v="CUST-0157"/>
    <x v="8"/>
    <x v="0"/>
    <x v="2"/>
    <n v="1"/>
    <n v="0"/>
    <x v="172"/>
    <n v="9.5500000000000007"/>
  </r>
  <r>
    <s v="ORD-00529"/>
    <d v="2025-06-10T00:00:00"/>
    <s v="CUST-0162"/>
    <x v="6"/>
    <x v="2"/>
    <x v="2"/>
    <n v="1"/>
    <n v="0"/>
    <x v="76"/>
    <n v="64.08"/>
  </r>
  <r>
    <s v="ORD-00530"/>
    <d v="2025-06-10T00:00:00"/>
    <s v="CUST-0083"/>
    <x v="1"/>
    <x v="1"/>
    <x v="0"/>
    <n v="4"/>
    <n v="0.2"/>
    <x v="125"/>
    <n v="-6.19"/>
  </r>
  <r>
    <s v="ORD-00531"/>
    <d v="2025-06-10T00:00:00"/>
    <s v="CUST-0218"/>
    <x v="8"/>
    <x v="0"/>
    <x v="0"/>
    <n v="4"/>
    <n v="0.1"/>
    <x v="70"/>
    <n v="46.22"/>
  </r>
  <r>
    <s v="ORD-00532"/>
    <d v="2025-06-11T00:00:00"/>
    <s v="CUST-0175"/>
    <x v="3"/>
    <x v="2"/>
    <x v="3"/>
    <n v="4"/>
    <n v="0.1"/>
    <x v="37"/>
    <n v="361.99"/>
  </r>
  <r>
    <s v="ORD-00533"/>
    <d v="2025-06-11T00:00:00"/>
    <s v="CUST-0024"/>
    <x v="2"/>
    <x v="1"/>
    <x v="2"/>
    <n v="5"/>
    <n v="0.15"/>
    <x v="32"/>
    <n v="212.78"/>
  </r>
  <r>
    <s v="ORD-00534"/>
    <d v="2025-06-11T00:00:00"/>
    <s v="CUST-0021"/>
    <x v="3"/>
    <x v="2"/>
    <x v="2"/>
    <n v="4"/>
    <n v="0.1"/>
    <x v="37"/>
    <n v="573.01"/>
  </r>
  <r>
    <s v="ORD-00535"/>
    <d v="2025-06-12T00:00:00"/>
    <s v="CUST-0101"/>
    <x v="4"/>
    <x v="2"/>
    <x v="1"/>
    <n v="3"/>
    <n v="0.1"/>
    <x v="100"/>
    <n v="405.54"/>
  </r>
  <r>
    <s v="ORD-00536"/>
    <d v="2025-06-12T00:00:00"/>
    <s v="CUST-0146"/>
    <x v="0"/>
    <x v="0"/>
    <x v="2"/>
    <n v="4"/>
    <n v="0.15"/>
    <x v="137"/>
    <n v="29.66"/>
  </r>
  <r>
    <s v="ORD-00537"/>
    <d v="2025-06-12T00:00:00"/>
    <s v="CUST-0013"/>
    <x v="4"/>
    <x v="2"/>
    <x v="1"/>
    <n v="4"/>
    <n v="0"/>
    <x v="16"/>
    <n v="416.42"/>
  </r>
  <r>
    <s v="ORD-00538"/>
    <d v="2025-06-13T00:00:00"/>
    <s v="CUST-0137"/>
    <x v="2"/>
    <x v="1"/>
    <x v="0"/>
    <n v="5"/>
    <n v="0.05"/>
    <x v="165"/>
    <n v="204.68"/>
  </r>
  <r>
    <s v="ORD-00539"/>
    <d v="2025-06-13T00:00:00"/>
    <s v="CUST-0100"/>
    <x v="8"/>
    <x v="0"/>
    <x v="0"/>
    <n v="3"/>
    <n v="0.1"/>
    <x v="126"/>
    <n v="20.309999999999999"/>
  </r>
  <r>
    <s v="ORD-00540"/>
    <d v="2025-06-13T00:00:00"/>
    <s v="CUST-0264"/>
    <x v="0"/>
    <x v="0"/>
    <x v="3"/>
    <n v="5"/>
    <n v="0"/>
    <x v="61"/>
    <n v="82.79"/>
  </r>
  <r>
    <s v="ORD-00541"/>
    <d v="2025-06-13T00:00:00"/>
    <s v="CUST-0149"/>
    <x v="1"/>
    <x v="1"/>
    <x v="2"/>
    <n v="2"/>
    <n v="0.1"/>
    <x v="8"/>
    <n v="30.63"/>
  </r>
  <r>
    <s v="ORD-00542"/>
    <d v="2025-06-14T00:00:00"/>
    <s v="CUST-0227"/>
    <x v="9"/>
    <x v="0"/>
    <x v="0"/>
    <n v="1"/>
    <n v="0.15"/>
    <x v="109"/>
    <n v="5.18"/>
  </r>
  <r>
    <s v="ORD-00543"/>
    <d v="2025-06-14T00:00:00"/>
    <s v="CUST-0044"/>
    <x v="6"/>
    <x v="2"/>
    <x v="3"/>
    <n v="1"/>
    <n v="0"/>
    <x v="76"/>
    <n v="66.44"/>
  </r>
  <r>
    <s v="ORD-00544"/>
    <d v="2025-06-14T00:00:00"/>
    <s v="CUST-0280"/>
    <x v="2"/>
    <x v="1"/>
    <x v="1"/>
    <n v="2"/>
    <n v="0"/>
    <x v="151"/>
    <n v="133.84"/>
  </r>
  <r>
    <s v="ORD-00545"/>
    <d v="2025-06-15T00:00:00"/>
    <s v="CUST-0111"/>
    <x v="8"/>
    <x v="0"/>
    <x v="1"/>
    <n v="1"/>
    <n v="0"/>
    <x v="172"/>
    <n v="13.38"/>
  </r>
  <r>
    <s v="ORD-00546"/>
    <d v="2025-06-15T00:00:00"/>
    <s v="CUST-0171"/>
    <x v="3"/>
    <x v="2"/>
    <x v="0"/>
    <n v="4"/>
    <n v="0.1"/>
    <x v="37"/>
    <n v="722.84"/>
  </r>
  <r>
    <s v="ORD-00547"/>
    <d v="2025-06-15T00:00:00"/>
    <s v="CUST-0119"/>
    <x v="1"/>
    <x v="1"/>
    <x v="2"/>
    <n v="2"/>
    <n v="0.1"/>
    <x v="8"/>
    <n v="52.02"/>
  </r>
  <r>
    <s v="ORD-00548"/>
    <d v="2025-06-16T00:00:00"/>
    <s v="CUST-0181"/>
    <x v="3"/>
    <x v="2"/>
    <x v="1"/>
    <n v="4"/>
    <n v="0.2"/>
    <x v="177"/>
    <n v="402.71"/>
  </r>
  <r>
    <s v="ORD-00549"/>
    <d v="2025-06-16T00:00:00"/>
    <s v="CUST-0224"/>
    <x v="6"/>
    <x v="2"/>
    <x v="0"/>
    <n v="2"/>
    <n v="0"/>
    <x v="123"/>
    <n v="140.59"/>
  </r>
  <r>
    <s v="ORD-00550"/>
    <d v="2025-06-16T00:00:00"/>
    <s v="CUST-0126"/>
    <x v="6"/>
    <x v="2"/>
    <x v="2"/>
    <n v="1"/>
    <n v="0.1"/>
    <x v="56"/>
    <n v="56.48"/>
  </r>
  <r>
    <s v="ORD-00551"/>
    <d v="2025-06-16T00:00:00"/>
    <s v="CUST-0160"/>
    <x v="2"/>
    <x v="1"/>
    <x v="3"/>
    <n v="4"/>
    <n v="0.1"/>
    <x v="133"/>
    <n v="91.65"/>
  </r>
  <r>
    <s v="ORD-00552"/>
    <d v="2025-06-17T00:00:00"/>
    <s v="CUST-0045"/>
    <x v="9"/>
    <x v="0"/>
    <x v="1"/>
    <n v="1"/>
    <n v="0.1"/>
    <x v="29"/>
    <n v="6.65"/>
  </r>
  <r>
    <s v="ORD-00553"/>
    <d v="2025-06-17T00:00:00"/>
    <s v="CUST-0226"/>
    <x v="1"/>
    <x v="1"/>
    <x v="2"/>
    <n v="3"/>
    <n v="0.1"/>
    <x v="28"/>
    <n v="49.96"/>
  </r>
  <r>
    <s v="ORD-00554"/>
    <d v="2025-06-17T00:00:00"/>
    <s v="CUST-0119"/>
    <x v="0"/>
    <x v="0"/>
    <x v="0"/>
    <n v="4"/>
    <n v="0"/>
    <x v="50"/>
    <n v="41.46"/>
  </r>
  <r>
    <s v="ORD-00555"/>
    <d v="2025-06-18T00:00:00"/>
    <s v="CUST-0028"/>
    <x v="9"/>
    <x v="0"/>
    <x v="1"/>
    <n v="4"/>
    <n v="0.1"/>
    <x v="164"/>
    <n v="10.49"/>
  </r>
  <r>
    <s v="ORD-00556"/>
    <d v="2025-06-18T00:00:00"/>
    <s v="CUST-0026"/>
    <x v="6"/>
    <x v="2"/>
    <x v="0"/>
    <n v="1"/>
    <n v="0"/>
    <x v="76"/>
    <n v="81.8"/>
  </r>
  <r>
    <s v="ORD-00557"/>
    <d v="2025-06-18T00:00:00"/>
    <s v="CUST-0181"/>
    <x v="7"/>
    <x v="3"/>
    <x v="2"/>
    <n v="3"/>
    <n v="0.1"/>
    <x v="132"/>
    <n v="6.01"/>
  </r>
  <r>
    <s v="ORD-00558"/>
    <d v="2025-06-19T00:00:00"/>
    <s v="CUST-0049"/>
    <x v="9"/>
    <x v="0"/>
    <x v="3"/>
    <n v="4"/>
    <n v="0.05"/>
    <x v="83"/>
    <n v="23.42"/>
  </r>
  <r>
    <s v="ORD-00559"/>
    <d v="2025-06-19T00:00:00"/>
    <s v="CUST-0174"/>
    <x v="1"/>
    <x v="1"/>
    <x v="1"/>
    <n v="4"/>
    <n v="0.1"/>
    <x v="110"/>
    <n v="192.87"/>
  </r>
  <r>
    <s v="ORD-00560"/>
    <d v="2025-06-19T00:00:00"/>
    <s v="CUST-0248"/>
    <x v="7"/>
    <x v="3"/>
    <x v="1"/>
    <n v="1"/>
    <n v="0.2"/>
    <x v="178"/>
    <n v="0.64"/>
  </r>
  <r>
    <s v="ORD-00561"/>
    <d v="2025-06-20T00:00:00"/>
    <s v="CUST-0224"/>
    <x v="3"/>
    <x v="2"/>
    <x v="0"/>
    <n v="2"/>
    <n v="0.05"/>
    <x v="179"/>
    <n v="231.12"/>
  </r>
  <r>
    <s v="ORD-00562"/>
    <d v="2025-06-20T00:00:00"/>
    <s v="CUST-0062"/>
    <x v="7"/>
    <x v="3"/>
    <x v="1"/>
    <n v="5"/>
    <n v="0.2"/>
    <x v="103"/>
    <n v="2.23"/>
  </r>
  <r>
    <s v="ORD-00563"/>
    <d v="2025-06-20T00:00:00"/>
    <s v="CUST-0003"/>
    <x v="5"/>
    <x v="2"/>
    <x v="1"/>
    <n v="2"/>
    <n v="0"/>
    <x v="111"/>
    <n v="46.12"/>
  </r>
  <r>
    <s v="ORD-00564"/>
    <d v="2025-06-20T00:00:00"/>
    <s v="CUST-0108"/>
    <x v="8"/>
    <x v="0"/>
    <x v="0"/>
    <n v="5"/>
    <n v="0.05"/>
    <x v="38"/>
    <n v="33.85"/>
  </r>
  <r>
    <s v="ORD-00565"/>
    <d v="2025-06-21T00:00:00"/>
    <s v="CUST-0156"/>
    <x v="3"/>
    <x v="2"/>
    <x v="2"/>
    <n v="3"/>
    <n v="0.15"/>
    <x v="91"/>
    <n v="115.52"/>
  </r>
  <r>
    <s v="ORD-00566"/>
    <d v="2025-06-21T00:00:00"/>
    <s v="CUST-0048"/>
    <x v="8"/>
    <x v="0"/>
    <x v="2"/>
    <n v="1"/>
    <n v="0"/>
    <x v="172"/>
    <n v="8.5399999999999991"/>
  </r>
  <r>
    <s v="ORD-00567"/>
    <d v="2025-06-21T00:00:00"/>
    <s v="CUST-0274"/>
    <x v="7"/>
    <x v="3"/>
    <x v="3"/>
    <n v="1"/>
    <n v="0"/>
    <x v="120"/>
    <n v="2.31"/>
  </r>
  <r>
    <s v="ORD-00568"/>
    <d v="2025-06-22T00:00:00"/>
    <s v="CUST-0285"/>
    <x v="0"/>
    <x v="0"/>
    <x v="3"/>
    <n v="2"/>
    <n v="0.2"/>
    <x v="101"/>
    <n v="15.62"/>
  </r>
  <r>
    <s v="ORD-00569"/>
    <d v="2025-06-22T00:00:00"/>
    <s v="CUST-0247"/>
    <x v="5"/>
    <x v="2"/>
    <x v="2"/>
    <n v="1"/>
    <n v="0.2"/>
    <x v="180"/>
    <n v="6.06"/>
  </r>
  <r>
    <s v="ORD-00570"/>
    <d v="2025-06-22T00:00:00"/>
    <s v="CUST-0039"/>
    <x v="7"/>
    <x v="3"/>
    <x v="0"/>
    <n v="4"/>
    <n v="0"/>
    <x v="103"/>
    <n v="8.06"/>
  </r>
  <r>
    <s v="ORD-00571"/>
    <d v="2025-06-23T00:00:00"/>
    <s v="CUST-0137"/>
    <x v="1"/>
    <x v="1"/>
    <x v="0"/>
    <n v="2"/>
    <n v="0.15"/>
    <x v="99"/>
    <n v="46.88"/>
  </r>
  <r>
    <s v="ORD-00572"/>
    <d v="2025-06-23T00:00:00"/>
    <s v="CUST-0255"/>
    <x v="7"/>
    <x v="3"/>
    <x v="3"/>
    <n v="4"/>
    <n v="0.05"/>
    <x v="19"/>
    <n v="4.63"/>
  </r>
  <r>
    <s v="ORD-00573"/>
    <d v="2025-06-23T00:00:00"/>
    <s v="CUST-0091"/>
    <x v="2"/>
    <x v="1"/>
    <x v="1"/>
    <n v="2"/>
    <n v="0.05"/>
    <x v="124"/>
    <n v="70.569999999999993"/>
  </r>
  <r>
    <s v="ORD-00574"/>
    <d v="2025-06-23T00:00:00"/>
    <s v="CUST-0141"/>
    <x v="2"/>
    <x v="1"/>
    <x v="0"/>
    <n v="3"/>
    <n v="0"/>
    <x v="149"/>
    <n v="187.32"/>
  </r>
  <r>
    <s v="ORD-00575"/>
    <d v="2025-06-24T00:00:00"/>
    <s v="CUST-0155"/>
    <x v="7"/>
    <x v="3"/>
    <x v="1"/>
    <n v="4"/>
    <n v="0.05"/>
    <x v="19"/>
    <n v="8.01"/>
  </r>
  <r>
    <s v="ORD-00576"/>
    <d v="2025-06-24T00:00:00"/>
    <s v="CUST-0241"/>
    <x v="4"/>
    <x v="2"/>
    <x v="3"/>
    <n v="1"/>
    <n v="0"/>
    <x v="40"/>
    <n v="113.9"/>
  </r>
  <r>
    <s v="ORD-00577"/>
    <d v="2025-06-24T00:00:00"/>
    <s v="CUST-0113"/>
    <x v="1"/>
    <x v="1"/>
    <x v="3"/>
    <n v="4"/>
    <n v="0.15"/>
    <x v="68"/>
    <n v="33.35"/>
  </r>
  <r>
    <s v="ORD-00578"/>
    <d v="2025-06-25T00:00:00"/>
    <s v="CUST-0181"/>
    <x v="7"/>
    <x v="3"/>
    <x v="3"/>
    <n v="1"/>
    <n v="0.15"/>
    <x v="181"/>
    <n v="1.44"/>
  </r>
  <r>
    <s v="ORD-00579"/>
    <d v="2025-06-25T00:00:00"/>
    <s v="CUST-0154"/>
    <x v="5"/>
    <x v="2"/>
    <x v="0"/>
    <n v="4"/>
    <n v="0.15"/>
    <x v="79"/>
    <n v="15.86"/>
  </r>
  <r>
    <s v="ORD-00580"/>
    <d v="2025-06-25T00:00:00"/>
    <s v="CUST-0041"/>
    <x v="1"/>
    <x v="1"/>
    <x v="0"/>
    <n v="4"/>
    <n v="0"/>
    <x v="9"/>
    <n v="152.66999999999999"/>
  </r>
  <r>
    <s v="ORD-00581"/>
    <d v="2025-06-26T00:00:00"/>
    <s v="CUST-0237"/>
    <x v="2"/>
    <x v="1"/>
    <x v="0"/>
    <n v="2"/>
    <n v="0.2"/>
    <x v="160"/>
    <n v="66.16"/>
  </r>
  <r>
    <s v="ORD-00582"/>
    <d v="2025-06-26T00:00:00"/>
    <s v="CUST-0149"/>
    <x v="1"/>
    <x v="1"/>
    <x v="3"/>
    <n v="5"/>
    <n v="0.1"/>
    <x v="152"/>
    <n v="150.6"/>
  </r>
  <r>
    <s v="ORD-00583"/>
    <d v="2025-06-26T00:00:00"/>
    <s v="CUST-0154"/>
    <x v="7"/>
    <x v="3"/>
    <x v="2"/>
    <n v="3"/>
    <n v="0.05"/>
    <x v="135"/>
    <n v="6.23"/>
  </r>
  <r>
    <s v="ORD-00584"/>
    <d v="2025-06-26T00:00:00"/>
    <s v="CUST-0084"/>
    <x v="2"/>
    <x v="1"/>
    <x v="3"/>
    <n v="5"/>
    <n v="0.15"/>
    <x v="32"/>
    <n v="71.900000000000006"/>
  </r>
  <r>
    <s v="ORD-00585"/>
    <d v="2025-06-27T00:00:00"/>
    <s v="CUST-0147"/>
    <x v="5"/>
    <x v="2"/>
    <x v="2"/>
    <n v="4"/>
    <n v="0"/>
    <x v="127"/>
    <n v="105.26"/>
  </r>
  <r>
    <s v="ORD-00586"/>
    <d v="2025-06-27T00:00:00"/>
    <s v="CUST-0271"/>
    <x v="0"/>
    <x v="0"/>
    <x v="3"/>
    <n v="4"/>
    <n v="0.1"/>
    <x v="39"/>
    <n v="45.57"/>
  </r>
  <r>
    <s v="ORD-00587"/>
    <d v="2025-06-27T00:00:00"/>
    <s v="CUST-0040"/>
    <x v="2"/>
    <x v="1"/>
    <x v="3"/>
    <n v="1"/>
    <n v="0.05"/>
    <x v="3"/>
    <n v="36.92"/>
  </r>
  <r>
    <s v="ORD-00588"/>
    <d v="2025-06-28T00:00:00"/>
    <s v="CUST-0004"/>
    <x v="1"/>
    <x v="1"/>
    <x v="3"/>
    <n v="2"/>
    <n v="0.15"/>
    <x v="99"/>
    <n v="57.41"/>
  </r>
  <r>
    <s v="ORD-00589"/>
    <d v="2025-06-28T00:00:00"/>
    <s v="CUST-0116"/>
    <x v="5"/>
    <x v="2"/>
    <x v="3"/>
    <n v="1"/>
    <n v="0.05"/>
    <x v="102"/>
    <n v="25.67"/>
  </r>
  <r>
    <s v="ORD-00590"/>
    <d v="2025-06-28T00:00:00"/>
    <s v="CUST-0249"/>
    <x v="2"/>
    <x v="1"/>
    <x v="2"/>
    <n v="5"/>
    <n v="0.15"/>
    <x v="32"/>
    <n v="253"/>
  </r>
  <r>
    <s v="ORD-00591"/>
    <d v="2025-06-29T00:00:00"/>
    <s v="CUST-0103"/>
    <x v="8"/>
    <x v="0"/>
    <x v="1"/>
    <n v="5"/>
    <n v="0.1"/>
    <x v="182"/>
    <n v="53.97"/>
  </r>
  <r>
    <s v="ORD-00592"/>
    <d v="2025-06-29T00:00:00"/>
    <s v="CUST-0038"/>
    <x v="2"/>
    <x v="1"/>
    <x v="3"/>
    <n v="5"/>
    <n v="0.05"/>
    <x v="165"/>
    <n v="168.8"/>
  </r>
  <r>
    <s v="ORD-00593"/>
    <d v="2025-06-29T00:00:00"/>
    <s v="CUST-0030"/>
    <x v="1"/>
    <x v="1"/>
    <x v="1"/>
    <n v="1"/>
    <n v="0.15"/>
    <x v="163"/>
    <n v="26.19"/>
  </r>
  <r>
    <s v="ORD-00594"/>
    <d v="2025-06-30T00:00:00"/>
    <s v="CUST-0185"/>
    <x v="2"/>
    <x v="1"/>
    <x v="1"/>
    <n v="1"/>
    <n v="0.05"/>
    <x v="3"/>
    <n v="60.66"/>
  </r>
  <r>
    <s v="ORD-00595"/>
    <d v="2025-06-30T00:00:00"/>
    <s v="CUST-0213"/>
    <x v="8"/>
    <x v="0"/>
    <x v="1"/>
    <n v="4"/>
    <n v="0.2"/>
    <x v="81"/>
    <n v="5.25"/>
  </r>
  <r>
    <s v="ORD-00596"/>
    <d v="2025-06-30T00:00:00"/>
    <s v="CUST-0202"/>
    <x v="2"/>
    <x v="1"/>
    <x v="2"/>
    <n v="1"/>
    <n v="0.05"/>
    <x v="3"/>
    <n v="54.36"/>
  </r>
  <r>
    <s v="ORD-00597"/>
    <d v="2025-06-30T00:00:00"/>
    <s v="CUST-0214"/>
    <x v="5"/>
    <x v="2"/>
    <x v="0"/>
    <n v="1"/>
    <n v="0.05"/>
    <x v="102"/>
    <n v="16.350000000000001"/>
  </r>
  <r>
    <s v="ORD-00598"/>
    <d v="2025-07-01T00:00:00"/>
    <s v="CUST-0123"/>
    <x v="3"/>
    <x v="2"/>
    <x v="0"/>
    <n v="4"/>
    <n v="0.2"/>
    <x v="177"/>
    <n v="139.28"/>
  </r>
  <r>
    <s v="ORD-00599"/>
    <d v="2025-07-01T00:00:00"/>
    <s v="CUST-0292"/>
    <x v="2"/>
    <x v="1"/>
    <x v="0"/>
    <n v="1"/>
    <n v="0.1"/>
    <x v="39"/>
    <n v="39.21"/>
  </r>
  <r>
    <s v="ORD-00600"/>
    <d v="2025-07-01T00:00:00"/>
    <s v="CUST-0198"/>
    <x v="6"/>
    <x v="2"/>
    <x v="0"/>
    <n v="2"/>
    <n v="0.1"/>
    <x v="33"/>
    <n v="65.819999999999993"/>
  </r>
  <r>
    <s v="ORD-00601"/>
    <d v="2025-07-02T00:00:00"/>
    <s v="CUST-0081"/>
    <x v="0"/>
    <x v="0"/>
    <x v="1"/>
    <n v="2"/>
    <n v="0.1"/>
    <x v="23"/>
    <n v="11.84"/>
  </r>
  <r>
    <s v="ORD-00602"/>
    <d v="2025-07-02T00:00:00"/>
    <s v="CUST-0245"/>
    <x v="6"/>
    <x v="2"/>
    <x v="3"/>
    <n v="5"/>
    <n v="0"/>
    <x v="95"/>
    <n v="404.79"/>
  </r>
  <r>
    <s v="ORD-00603"/>
    <d v="2025-07-02T00:00:00"/>
    <s v="CUST-0183"/>
    <x v="3"/>
    <x v="2"/>
    <x v="2"/>
    <n v="1"/>
    <n v="0.1"/>
    <x v="94"/>
    <n v="108.93"/>
  </r>
  <r>
    <s v="ORD-00604"/>
    <d v="2025-07-03T00:00:00"/>
    <s v="CUST-0032"/>
    <x v="3"/>
    <x v="2"/>
    <x v="2"/>
    <n v="1"/>
    <n v="0.05"/>
    <x v="27"/>
    <n v="193.31"/>
  </r>
  <r>
    <s v="ORD-00605"/>
    <d v="2025-07-03T00:00:00"/>
    <s v="CUST-0078"/>
    <x v="1"/>
    <x v="1"/>
    <x v="1"/>
    <n v="2"/>
    <n v="0"/>
    <x v="10"/>
    <n v="80.48"/>
  </r>
  <r>
    <s v="ORD-00606"/>
    <d v="2025-07-03T00:00:00"/>
    <s v="CUST-0168"/>
    <x v="3"/>
    <x v="2"/>
    <x v="3"/>
    <n v="2"/>
    <n v="0.05"/>
    <x v="179"/>
    <n v="367.91"/>
  </r>
  <r>
    <s v="ORD-00607"/>
    <d v="2025-07-03T00:00:00"/>
    <s v="CUST-0013"/>
    <x v="2"/>
    <x v="1"/>
    <x v="2"/>
    <n v="1"/>
    <n v="0.05"/>
    <x v="3"/>
    <n v="51.38"/>
  </r>
  <r>
    <s v="ORD-00608"/>
    <d v="2025-07-04T00:00:00"/>
    <s v="CUST-0089"/>
    <x v="4"/>
    <x v="2"/>
    <x v="2"/>
    <n v="3"/>
    <n v="0.05"/>
    <x v="67"/>
    <n v="455.49"/>
  </r>
  <r>
    <s v="ORD-00609"/>
    <d v="2025-07-04T00:00:00"/>
    <s v="CUST-0007"/>
    <x v="1"/>
    <x v="1"/>
    <x v="1"/>
    <n v="4"/>
    <n v="0.05"/>
    <x v="31"/>
    <n v="112.12"/>
  </r>
  <r>
    <s v="ORD-00610"/>
    <d v="2025-07-04T00:00:00"/>
    <s v="CUST-0179"/>
    <x v="9"/>
    <x v="0"/>
    <x v="1"/>
    <n v="3"/>
    <n v="0.15"/>
    <x v="96"/>
    <n v="3.03"/>
  </r>
  <r>
    <s v="ORD-00611"/>
    <d v="2025-07-05T00:00:00"/>
    <s v="CUST-0053"/>
    <x v="1"/>
    <x v="1"/>
    <x v="3"/>
    <n v="4"/>
    <n v="0"/>
    <x v="9"/>
    <n v="270.75"/>
  </r>
  <r>
    <s v="ORD-00612"/>
    <d v="2025-07-05T00:00:00"/>
    <s v="CUST-0005"/>
    <x v="2"/>
    <x v="1"/>
    <x v="0"/>
    <n v="3"/>
    <n v="0.05"/>
    <x v="115"/>
    <n v="94.38"/>
  </r>
  <r>
    <s v="ORD-00613"/>
    <d v="2025-07-05T00:00:00"/>
    <s v="CUST-0019"/>
    <x v="2"/>
    <x v="1"/>
    <x v="1"/>
    <n v="3"/>
    <n v="0.05"/>
    <x v="115"/>
    <n v="206.72"/>
  </r>
  <r>
    <s v="ORD-00614"/>
    <d v="2025-07-06T00:00:00"/>
    <s v="CUST-0289"/>
    <x v="2"/>
    <x v="1"/>
    <x v="0"/>
    <n v="3"/>
    <n v="0"/>
    <x v="149"/>
    <n v="201.44"/>
  </r>
  <r>
    <s v="ORD-00615"/>
    <d v="2025-07-06T00:00:00"/>
    <s v="CUST-0029"/>
    <x v="1"/>
    <x v="1"/>
    <x v="2"/>
    <n v="3"/>
    <n v="0.15"/>
    <x v="183"/>
    <n v="59.28"/>
  </r>
  <r>
    <s v="ORD-00616"/>
    <d v="2025-07-06T00:00:00"/>
    <s v="CUST-0062"/>
    <x v="5"/>
    <x v="2"/>
    <x v="0"/>
    <n v="2"/>
    <n v="0.2"/>
    <x v="128"/>
    <n v="28.43"/>
  </r>
  <r>
    <s v="ORD-00617"/>
    <d v="2025-07-07T00:00:00"/>
    <s v="CUST-0169"/>
    <x v="7"/>
    <x v="3"/>
    <x v="0"/>
    <n v="1"/>
    <n v="0"/>
    <x v="120"/>
    <n v="2.16"/>
  </r>
  <r>
    <s v="ORD-00618"/>
    <d v="2025-07-07T00:00:00"/>
    <s v="CUST-0177"/>
    <x v="5"/>
    <x v="2"/>
    <x v="2"/>
    <n v="2"/>
    <n v="0.1"/>
    <x v="81"/>
    <n v="38.26"/>
  </r>
  <r>
    <s v="ORD-00619"/>
    <d v="2025-07-07T00:00:00"/>
    <s v="CUST-0291"/>
    <x v="0"/>
    <x v="0"/>
    <x v="2"/>
    <n v="3"/>
    <n v="0.1"/>
    <x v="17"/>
    <n v="29.15"/>
  </r>
  <r>
    <s v="ORD-00620"/>
    <d v="2025-07-07T00:00:00"/>
    <s v="CUST-0154"/>
    <x v="5"/>
    <x v="2"/>
    <x v="3"/>
    <n v="4"/>
    <n v="0.1"/>
    <x v="82"/>
    <n v="45.45"/>
  </r>
  <r>
    <s v="ORD-00621"/>
    <d v="2025-07-08T00:00:00"/>
    <s v="CUST-0041"/>
    <x v="0"/>
    <x v="0"/>
    <x v="1"/>
    <n v="3"/>
    <n v="0"/>
    <x v="184"/>
    <n v="31.3"/>
  </r>
  <r>
    <s v="ORD-00622"/>
    <d v="2025-07-08T00:00:00"/>
    <s v="CUST-0290"/>
    <x v="1"/>
    <x v="1"/>
    <x v="1"/>
    <n v="4"/>
    <n v="0.05"/>
    <x v="31"/>
    <n v="224.34"/>
  </r>
  <r>
    <s v="ORD-00623"/>
    <d v="2025-07-08T00:00:00"/>
    <s v="CUST-0048"/>
    <x v="4"/>
    <x v="2"/>
    <x v="1"/>
    <n v="3"/>
    <n v="0.1"/>
    <x v="100"/>
    <n v="208.01"/>
  </r>
  <r>
    <s v="ORD-00624"/>
    <d v="2025-07-09T00:00:00"/>
    <s v="CUST-0065"/>
    <x v="6"/>
    <x v="2"/>
    <x v="3"/>
    <n v="3"/>
    <n v="0.05"/>
    <x v="31"/>
    <n v="151.54"/>
  </r>
  <r>
    <s v="ORD-00625"/>
    <d v="2025-07-09T00:00:00"/>
    <s v="CUST-0150"/>
    <x v="7"/>
    <x v="3"/>
    <x v="3"/>
    <n v="1"/>
    <n v="0"/>
    <x v="120"/>
    <n v="1.53"/>
  </r>
  <r>
    <s v="ORD-00626"/>
    <d v="2025-07-09T00:00:00"/>
    <s v="CUST-0025"/>
    <x v="2"/>
    <x v="1"/>
    <x v="0"/>
    <n v="3"/>
    <n v="0.15"/>
    <x v="63"/>
    <n v="69.27"/>
  </r>
  <r>
    <s v="ORD-00627"/>
    <d v="2025-07-10T00:00:00"/>
    <s v="CUST-0137"/>
    <x v="3"/>
    <x v="2"/>
    <x v="2"/>
    <n v="1"/>
    <n v="0.05"/>
    <x v="27"/>
    <n v="92.79"/>
  </r>
  <r>
    <s v="ORD-00628"/>
    <d v="2025-07-10T00:00:00"/>
    <s v="CUST-0046"/>
    <x v="4"/>
    <x v="2"/>
    <x v="1"/>
    <n v="1"/>
    <n v="0"/>
    <x v="40"/>
    <n v="117.43"/>
  </r>
  <r>
    <s v="ORD-00629"/>
    <d v="2025-07-10T00:00:00"/>
    <s v="CUST-0178"/>
    <x v="8"/>
    <x v="0"/>
    <x v="3"/>
    <n v="1"/>
    <n v="0.05"/>
    <x v="22"/>
    <n v="8.16"/>
  </r>
  <r>
    <s v="ORD-00630"/>
    <d v="2025-07-10T00:00:00"/>
    <s v="CUST-0271"/>
    <x v="1"/>
    <x v="1"/>
    <x v="2"/>
    <n v="3"/>
    <n v="0"/>
    <x v="2"/>
    <n v="118.02"/>
  </r>
  <r>
    <s v="ORD-00631"/>
    <d v="2025-07-11T00:00:00"/>
    <s v="CUST-0273"/>
    <x v="6"/>
    <x v="2"/>
    <x v="3"/>
    <n v="3"/>
    <n v="0"/>
    <x v="9"/>
    <n v="188.72"/>
  </r>
  <r>
    <s v="ORD-00632"/>
    <d v="2025-07-11T00:00:00"/>
    <s v="CUST-0168"/>
    <x v="6"/>
    <x v="2"/>
    <x v="3"/>
    <n v="1"/>
    <n v="0"/>
    <x v="76"/>
    <n v="56.93"/>
  </r>
  <r>
    <s v="ORD-00633"/>
    <d v="2025-07-11T00:00:00"/>
    <s v="CUST-0047"/>
    <x v="3"/>
    <x v="2"/>
    <x v="2"/>
    <n v="5"/>
    <n v="0.15"/>
    <x v="74"/>
    <n v="267.33"/>
  </r>
  <r>
    <s v="ORD-00634"/>
    <d v="2025-07-12T00:00:00"/>
    <s v="CUST-0290"/>
    <x v="3"/>
    <x v="2"/>
    <x v="2"/>
    <n v="1"/>
    <n v="0"/>
    <x v="176"/>
    <n v="236.97"/>
  </r>
  <r>
    <s v="ORD-00635"/>
    <d v="2025-07-12T00:00:00"/>
    <s v="CUST-0016"/>
    <x v="5"/>
    <x v="2"/>
    <x v="1"/>
    <n v="3"/>
    <n v="0"/>
    <x v="76"/>
    <n v="62.54"/>
  </r>
  <r>
    <s v="ORD-00636"/>
    <d v="2025-07-12T00:00:00"/>
    <s v="CUST-0164"/>
    <x v="0"/>
    <x v="0"/>
    <x v="3"/>
    <n v="2"/>
    <n v="0.15"/>
    <x v="185"/>
    <n v="16.87"/>
  </r>
  <r>
    <s v="ORD-00637"/>
    <d v="2025-07-13T00:00:00"/>
    <s v="CUST-0091"/>
    <x v="9"/>
    <x v="0"/>
    <x v="1"/>
    <n v="3"/>
    <n v="0.1"/>
    <x v="86"/>
    <n v="11.83"/>
  </r>
  <r>
    <s v="ORD-00638"/>
    <d v="2025-07-13T00:00:00"/>
    <s v="CUST-0107"/>
    <x v="9"/>
    <x v="0"/>
    <x v="0"/>
    <n v="3"/>
    <n v="0.15"/>
    <x v="96"/>
    <n v="13.01"/>
  </r>
  <r>
    <s v="ORD-00639"/>
    <d v="2025-07-13T00:00:00"/>
    <s v="CUST-0037"/>
    <x v="0"/>
    <x v="0"/>
    <x v="0"/>
    <n v="1"/>
    <n v="0.15"/>
    <x v="186"/>
    <n v="2.58"/>
  </r>
  <r>
    <s v="ORD-00640"/>
    <d v="2025-07-13T00:00:00"/>
    <s v="CUST-0123"/>
    <x v="5"/>
    <x v="2"/>
    <x v="2"/>
    <n v="3"/>
    <n v="0.05"/>
    <x v="134"/>
    <n v="48.95"/>
  </r>
  <r>
    <s v="ORD-00641"/>
    <d v="2025-07-14T00:00:00"/>
    <s v="CUST-0107"/>
    <x v="8"/>
    <x v="0"/>
    <x v="0"/>
    <n v="2"/>
    <n v="0.05"/>
    <x v="75"/>
    <n v="20.07"/>
  </r>
  <r>
    <s v="ORD-00642"/>
    <d v="2025-07-14T00:00:00"/>
    <s v="CUST-0186"/>
    <x v="5"/>
    <x v="2"/>
    <x v="0"/>
    <n v="2"/>
    <n v="0.1"/>
    <x v="81"/>
    <n v="19.68"/>
  </r>
  <r>
    <s v="ORD-00643"/>
    <d v="2025-07-14T00:00:00"/>
    <s v="CUST-0207"/>
    <x v="1"/>
    <x v="1"/>
    <x v="0"/>
    <n v="5"/>
    <n v="0.05"/>
    <x v="143"/>
    <n v="291.89999999999998"/>
  </r>
  <r>
    <s v="ORD-00644"/>
    <d v="2025-07-15T00:00:00"/>
    <s v="CUST-0102"/>
    <x v="0"/>
    <x v="0"/>
    <x v="1"/>
    <n v="3"/>
    <n v="0.05"/>
    <x v="187"/>
    <n v="32.83"/>
  </r>
  <r>
    <s v="ORD-00645"/>
    <d v="2025-07-15T00:00:00"/>
    <s v="CUST-0021"/>
    <x v="2"/>
    <x v="1"/>
    <x v="1"/>
    <n v="5"/>
    <n v="0"/>
    <x v="55"/>
    <n v="377.16"/>
  </r>
  <r>
    <s v="ORD-00646"/>
    <d v="2025-07-15T00:00:00"/>
    <s v="CUST-0291"/>
    <x v="0"/>
    <x v="0"/>
    <x v="2"/>
    <n v="3"/>
    <n v="0.15"/>
    <x v="131"/>
    <n v="15.34"/>
  </r>
  <r>
    <s v="ORD-00647"/>
    <d v="2025-07-16T00:00:00"/>
    <s v="CUST-0234"/>
    <x v="2"/>
    <x v="1"/>
    <x v="3"/>
    <n v="1"/>
    <n v="0.05"/>
    <x v="3"/>
    <n v="61.6"/>
  </r>
  <r>
    <s v="ORD-00648"/>
    <d v="2025-07-16T00:00:00"/>
    <s v="CUST-0153"/>
    <x v="6"/>
    <x v="2"/>
    <x v="0"/>
    <n v="5"/>
    <n v="0.1"/>
    <x v="21"/>
    <n v="317.61"/>
  </r>
  <r>
    <s v="ORD-00649"/>
    <d v="2025-07-16T00:00:00"/>
    <s v="CUST-0295"/>
    <x v="0"/>
    <x v="0"/>
    <x v="2"/>
    <n v="5"/>
    <n v="0.05"/>
    <x v="46"/>
    <n v="71.260000000000005"/>
  </r>
  <r>
    <s v="ORD-00650"/>
    <d v="2025-07-17T00:00:00"/>
    <s v="CUST-0109"/>
    <x v="3"/>
    <x v="2"/>
    <x v="3"/>
    <n v="1"/>
    <n v="0"/>
    <x v="176"/>
    <n v="195.95"/>
  </r>
  <r>
    <s v="ORD-00651"/>
    <d v="2025-07-17T00:00:00"/>
    <s v="CUST-0076"/>
    <x v="0"/>
    <x v="0"/>
    <x v="3"/>
    <n v="1"/>
    <n v="0.15"/>
    <x v="186"/>
    <n v="5.2"/>
  </r>
  <r>
    <s v="ORD-00652"/>
    <d v="2025-07-17T00:00:00"/>
    <s v="CUST-0239"/>
    <x v="4"/>
    <x v="2"/>
    <x v="0"/>
    <n v="1"/>
    <n v="0"/>
    <x v="40"/>
    <n v="160.41"/>
  </r>
  <r>
    <s v="ORD-00653"/>
    <d v="2025-07-17T00:00:00"/>
    <s v="CUST-0112"/>
    <x v="0"/>
    <x v="0"/>
    <x v="3"/>
    <n v="5"/>
    <n v="0.1"/>
    <x v="15"/>
    <n v="55.84"/>
  </r>
  <r>
    <s v="ORD-00654"/>
    <d v="2025-07-18T00:00:00"/>
    <s v="CUST-0018"/>
    <x v="3"/>
    <x v="2"/>
    <x v="1"/>
    <n v="5"/>
    <n v="0.1"/>
    <x v="71"/>
    <n v="433.94"/>
  </r>
  <r>
    <s v="ORD-00655"/>
    <d v="2025-07-18T00:00:00"/>
    <s v="CUST-0122"/>
    <x v="8"/>
    <x v="0"/>
    <x v="1"/>
    <n v="1"/>
    <n v="0.05"/>
    <x v="22"/>
    <n v="11.12"/>
  </r>
  <r>
    <s v="ORD-00656"/>
    <d v="2025-07-18T00:00:00"/>
    <s v="CUST-0011"/>
    <x v="4"/>
    <x v="2"/>
    <x v="1"/>
    <n v="4"/>
    <n v="0"/>
    <x v="16"/>
    <n v="675.24"/>
  </r>
  <r>
    <s v="ORD-00657"/>
    <d v="2025-07-19T00:00:00"/>
    <s v="CUST-0152"/>
    <x v="0"/>
    <x v="0"/>
    <x v="2"/>
    <n v="3"/>
    <n v="0.05"/>
    <x v="187"/>
    <n v="29.72"/>
  </r>
  <r>
    <s v="ORD-00658"/>
    <d v="2025-07-19T00:00:00"/>
    <s v="CUST-0175"/>
    <x v="6"/>
    <x v="2"/>
    <x v="1"/>
    <n v="1"/>
    <n v="0.05"/>
    <x v="134"/>
    <n v="53.24"/>
  </r>
  <r>
    <s v="ORD-00659"/>
    <d v="2025-07-19T00:00:00"/>
    <s v="CUST-0246"/>
    <x v="3"/>
    <x v="2"/>
    <x v="0"/>
    <n v="5"/>
    <n v="0.1"/>
    <x v="71"/>
    <n v="642.23"/>
  </r>
  <r>
    <s v="ORD-00660"/>
    <d v="2025-07-20T00:00:00"/>
    <s v="CUST-0245"/>
    <x v="5"/>
    <x v="2"/>
    <x v="2"/>
    <n v="5"/>
    <n v="0.1"/>
    <x v="10"/>
    <n v="102.77"/>
  </r>
  <r>
    <s v="ORD-00661"/>
    <d v="2025-07-20T00:00:00"/>
    <s v="CUST-0282"/>
    <x v="0"/>
    <x v="0"/>
    <x v="0"/>
    <n v="2"/>
    <n v="0.1"/>
    <x v="23"/>
    <n v="28.29"/>
  </r>
  <r>
    <s v="ORD-00662"/>
    <d v="2025-07-20T00:00:00"/>
    <s v="CUST-0241"/>
    <x v="4"/>
    <x v="2"/>
    <x v="1"/>
    <n v="2"/>
    <n v="0.1"/>
    <x v="43"/>
    <n v="196.15"/>
  </r>
  <r>
    <s v="ORD-00663"/>
    <d v="2025-07-20T00:00:00"/>
    <s v="CUST-0207"/>
    <x v="3"/>
    <x v="2"/>
    <x v="0"/>
    <n v="3"/>
    <n v="0"/>
    <x v="170"/>
    <n v="556.04"/>
  </r>
  <r>
    <s v="ORD-00664"/>
    <d v="2025-07-21T00:00:00"/>
    <s v="CUST-0025"/>
    <x v="2"/>
    <x v="1"/>
    <x v="1"/>
    <n v="3"/>
    <n v="0.1"/>
    <x v="41"/>
    <n v="151.37"/>
  </r>
  <r>
    <s v="ORD-00665"/>
    <d v="2025-07-21T00:00:00"/>
    <s v="CUST-0118"/>
    <x v="6"/>
    <x v="2"/>
    <x v="0"/>
    <n v="1"/>
    <n v="0.05"/>
    <x v="134"/>
    <n v="37.24"/>
  </r>
  <r>
    <s v="ORD-00666"/>
    <d v="2025-07-21T00:00:00"/>
    <s v="CUST-0271"/>
    <x v="0"/>
    <x v="0"/>
    <x v="3"/>
    <n v="5"/>
    <n v="0"/>
    <x v="61"/>
    <n v="57.48"/>
  </r>
  <r>
    <s v="ORD-00667"/>
    <d v="2025-07-22T00:00:00"/>
    <s v="CUST-0048"/>
    <x v="2"/>
    <x v="1"/>
    <x v="1"/>
    <n v="1"/>
    <n v="0.15"/>
    <x v="137"/>
    <n v="10.92"/>
  </r>
  <r>
    <s v="ORD-00668"/>
    <d v="2025-07-22T00:00:00"/>
    <s v="CUST-0220"/>
    <x v="9"/>
    <x v="0"/>
    <x v="2"/>
    <n v="4"/>
    <n v="0"/>
    <x v="72"/>
    <n v="27.77"/>
  </r>
  <r>
    <s v="ORD-00669"/>
    <d v="2025-07-22T00:00:00"/>
    <s v="CUST-0045"/>
    <x v="6"/>
    <x v="2"/>
    <x v="1"/>
    <n v="1"/>
    <n v="0"/>
    <x v="76"/>
    <n v="73.180000000000007"/>
  </r>
  <r>
    <s v="ORD-00670"/>
    <d v="2025-07-23T00:00:00"/>
    <s v="CUST-0003"/>
    <x v="1"/>
    <x v="1"/>
    <x v="1"/>
    <n v="5"/>
    <n v="0.1"/>
    <x v="152"/>
    <n v="194.19"/>
  </r>
  <r>
    <s v="ORD-00671"/>
    <d v="2025-07-23T00:00:00"/>
    <s v="CUST-0060"/>
    <x v="9"/>
    <x v="0"/>
    <x v="2"/>
    <n v="3"/>
    <n v="0.1"/>
    <x v="86"/>
    <n v="18.46"/>
  </r>
  <r>
    <s v="ORD-00672"/>
    <d v="2025-07-23T00:00:00"/>
    <s v="CUST-0062"/>
    <x v="7"/>
    <x v="3"/>
    <x v="2"/>
    <n v="3"/>
    <n v="0.2"/>
    <x v="105"/>
    <n v="2.5"/>
  </r>
  <r>
    <s v="ORD-00673"/>
    <d v="2025-07-24T00:00:00"/>
    <s v="CUST-0207"/>
    <x v="3"/>
    <x v="2"/>
    <x v="2"/>
    <n v="1"/>
    <n v="0"/>
    <x v="176"/>
    <n v="142.41999999999999"/>
  </r>
  <r>
    <s v="ORD-00674"/>
    <d v="2025-07-24T00:00:00"/>
    <s v="CUST-0295"/>
    <x v="6"/>
    <x v="2"/>
    <x v="2"/>
    <n v="4"/>
    <n v="0.15"/>
    <x v="14"/>
    <n v="108.73"/>
  </r>
  <r>
    <s v="ORD-00675"/>
    <d v="2025-07-24T00:00:00"/>
    <s v="CUST-0192"/>
    <x v="7"/>
    <x v="3"/>
    <x v="2"/>
    <n v="4"/>
    <n v="0"/>
    <x v="103"/>
    <n v="7.86"/>
  </r>
  <r>
    <s v="ORD-00676"/>
    <d v="2025-07-24T00:00:00"/>
    <s v="CUST-0215"/>
    <x v="0"/>
    <x v="0"/>
    <x v="3"/>
    <n v="4"/>
    <n v="0"/>
    <x v="50"/>
    <n v="44.42"/>
  </r>
  <r>
    <s v="ORD-00677"/>
    <d v="2025-07-25T00:00:00"/>
    <s v="CUST-0245"/>
    <x v="4"/>
    <x v="2"/>
    <x v="1"/>
    <n v="5"/>
    <n v="0.1"/>
    <x v="147"/>
    <n v="255.44"/>
  </r>
  <r>
    <s v="ORD-00678"/>
    <d v="2025-07-25T00:00:00"/>
    <s v="CUST-0054"/>
    <x v="7"/>
    <x v="3"/>
    <x v="2"/>
    <n v="4"/>
    <n v="0.05"/>
    <x v="19"/>
    <n v="5.98"/>
  </r>
  <r>
    <s v="ORD-00679"/>
    <d v="2025-07-25T00:00:00"/>
    <s v="CUST-0094"/>
    <x v="9"/>
    <x v="0"/>
    <x v="1"/>
    <n v="3"/>
    <n v="0"/>
    <x v="106"/>
    <n v="23.4"/>
  </r>
  <r>
    <s v="ORD-00680"/>
    <d v="2025-07-26T00:00:00"/>
    <s v="CUST-0218"/>
    <x v="7"/>
    <x v="3"/>
    <x v="1"/>
    <n v="4"/>
    <n v="0.1"/>
    <x v="188"/>
    <n v="5.39"/>
  </r>
  <r>
    <s v="ORD-00681"/>
    <d v="2025-07-26T00:00:00"/>
    <s v="CUST-0224"/>
    <x v="5"/>
    <x v="2"/>
    <x v="0"/>
    <n v="4"/>
    <n v="0.05"/>
    <x v="129"/>
    <n v="76.75"/>
  </r>
  <r>
    <s v="ORD-00682"/>
    <d v="2025-07-26T00:00:00"/>
    <s v="CUST-0222"/>
    <x v="8"/>
    <x v="0"/>
    <x v="0"/>
    <n v="1"/>
    <n v="0.05"/>
    <x v="22"/>
    <n v="6.4"/>
  </r>
  <r>
    <s v="ORD-00683"/>
    <d v="2025-07-27T00:00:00"/>
    <s v="CUST-0110"/>
    <x v="3"/>
    <x v="2"/>
    <x v="0"/>
    <n v="5"/>
    <n v="0.15"/>
    <x v="74"/>
    <n v="446.48"/>
  </r>
  <r>
    <s v="ORD-00684"/>
    <d v="2025-07-27T00:00:00"/>
    <s v="CUST-0279"/>
    <x v="1"/>
    <x v="1"/>
    <x v="3"/>
    <n v="2"/>
    <n v="0.1"/>
    <x v="8"/>
    <n v="42.12"/>
  </r>
  <r>
    <s v="ORD-00685"/>
    <d v="2025-07-27T00:00:00"/>
    <s v="CUST-0161"/>
    <x v="8"/>
    <x v="0"/>
    <x v="2"/>
    <n v="4"/>
    <n v="0.15"/>
    <x v="163"/>
    <n v="14.48"/>
  </r>
  <r>
    <s v="ORD-00686"/>
    <d v="2025-07-27T00:00:00"/>
    <s v="CUST-0096"/>
    <x v="9"/>
    <x v="0"/>
    <x v="3"/>
    <n v="1"/>
    <n v="0.05"/>
    <x v="153"/>
    <n v="8.32"/>
  </r>
  <r>
    <s v="ORD-00687"/>
    <d v="2025-07-28T00:00:00"/>
    <s v="CUST-0217"/>
    <x v="2"/>
    <x v="1"/>
    <x v="2"/>
    <n v="4"/>
    <n v="0"/>
    <x v="138"/>
    <n v="217.03"/>
  </r>
  <r>
    <s v="ORD-00688"/>
    <d v="2025-07-28T00:00:00"/>
    <s v="CUST-0258"/>
    <x v="9"/>
    <x v="0"/>
    <x v="2"/>
    <n v="5"/>
    <n v="0.05"/>
    <x v="104"/>
    <n v="29.5"/>
  </r>
  <r>
    <s v="ORD-00689"/>
    <d v="2025-07-28T00:00:00"/>
    <s v="CUST-0276"/>
    <x v="3"/>
    <x v="2"/>
    <x v="2"/>
    <n v="5"/>
    <n v="0"/>
    <x v="189"/>
    <n v="1173.3"/>
  </r>
  <r>
    <s v="ORD-00690"/>
    <d v="2025-07-29T00:00:00"/>
    <s v="CUST-0143"/>
    <x v="7"/>
    <x v="3"/>
    <x v="2"/>
    <n v="3"/>
    <n v="0.2"/>
    <x v="105"/>
    <n v="3.16"/>
  </r>
  <r>
    <s v="ORD-00691"/>
    <d v="2025-07-29T00:00:00"/>
    <s v="CUST-0291"/>
    <x v="3"/>
    <x v="2"/>
    <x v="1"/>
    <n v="3"/>
    <n v="0"/>
    <x v="170"/>
    <n v="600.42999999999995"/>
  </r>
  <r>
    <s v="ORD-00692"/>
    <d v="2025-07-29T00:00:00"/>
    <s v="CUST-0183"/>
    <x v="8"/>
    <x v="0"/>
    <x v="3"/>
    <n v="2"/>
    <n v="0.1"/>
    <x v="86"/>
    <n v="19.64"/>
  </r>
  <r>
    <s v="ORD-00693"/>
    <d v="2025-07-30T00:00:00"/>
    <s v="CUST-0125"/>
    <x v="7"/>
    <x v="3"/>
    <x v="1"/>
    <n v="3"/>
    <n v="0.2"/>
    <x v="105"/>
    <n v="2.33"/>
  </r>
  <r>
    <s v="ORD-00694"/>
    <d v="2025-07-30T00:00:00"/>
    <s v="CUST-0019"/>
    <x v="4"/>
    <x v="2"/>
    <x v="3"/>
    <n v="1"/>
    <n v="0"/>
    <x v="40"/>
    <n v="126.17"/>
  </r>
  <r>
    <s v="ORD-00695"/>
    <d v="2025-07-30T00:00:00"/>
    <s v="CUST-0048"/>
    <x v="5"/>
    <x v="2"/>
    <x v="3"/>
    <n v="2"/>
    <n v="0"/>
    <x v="111"/>
    <n v="42.28"/>
  </r>
  <r>
    <s v="ORD-00696"/>
    <d v="2025-07-30T00:00:00"/>
    <s v="CUST-0197"/>
    <x v="0"/>
    <x v="0"/>
    <x v="3"/>
    <n v="3"/>
    <n v="0.2"/>
    <x v="116"/>
    <n v="18.420000000000002"/>
  </r>
  <r>
    <s v="ORD-00697"/>
    <d v="2025-07-31T00:00:00"/>
    <s v="CUST-0246"/>
    <x v="2"/>
    <x v="1"/>
    <x v="0"/>
    <n v="3"/>
    <n v="0.05"/>
    <x v="115"/>
    <n v="152.57"/>
  </r>
  <r>
    <s v="ORD-00698"/>
    <d v="2025-07-31T00:00:00"/>
    <s v="CUST-0288"/>
    <x v="7"/>
    <x v="3"/>
    <x v="3"/>
    <n v="4"/>
    <n v="0.2"/>
    <x v="69"/>
    <n v="2.5299999999999998"/>
  </r>
  <r>
    <s v="ORD-00699"/>
    <d v="2025-07-31T00:00:00"/>
    <s v="CUST-0075"/>
    <x v="5"/>
    <x v="2"/>
    <x v="0"/>
    <n v="3"/>
    <n v="0.1"/>
    <x v="56"/>
    <n v="49.29"/>
  </r>
  <r>
    <s v="ORD-00700"/>
    <d v="2025-08-01T00:00:00"/>
    <s v="CUST-0182"/>
    <x v="2"/>
    <x v="1"/>
    <x v="1"/>
    <n v="1"/>
    <n v="0.1"/>
    <x v="39"/>
    <n v="18.73"/>
  </r>
  <r>
    <s v="ORD-00701"/>
    <d v="2025-08-01T00:00:00"/>
    <s v="CUST-0193"/>
    <x v="8"/>
    <x v="0"/>
    <x v="3"/>
    <n v="3"/>
    <n v="0.1"/>
    <x v="126"/>
    <n v="15.92"/>
  </r>
  <r>
    <s v="ORD-00702"/>
    <d v="2025-08-01T00:00:00"/>
    <s v="CUST-0209"/>
    <x v="9"/>
    <x v="0"/>
    <x v="0"/>
    <n v="4"/>
    <n v="0"/>
    <x v="72"/>
    <n v="31.69"/>
  </r>
  <r>
    <s v="ORD-00703"/>
    <d v="2025-08-02T00:00:00"/>
    <s v="CUST-0059"/>
    <x v="5"/>
    <x v="2"/>
    <x v="3"/>
    <n v="4"/>
    <n v="0.1"/>
    <x v="82"/>
    <n v="88"/>
  </r>
  <r>
    <s v="ORD-00704"/>
    <d v="2025-08-02T00:00:00"/>
    <s v="CUST-0184"/>
    <x v="9"/>
    <x v="0"/>
    <x v="1"/>
    <n v="4"/>
    <n v="0.2"/>
    <x v="173"/>
    <n v="8.74"/>
  </r>
  <r>
    <s v="ORD-00705"/>
    <d v="2025-08-02T00:00:00"/>
    <s v="CUST-0026"/>
    <x v="5"/>
    <x v="2"/>
    <x v="3"/>
    <n v="5"/>
    <n v="0.15"/>
    <x v="113"/>
    <n v="40.590000000000003"/>
  </r>
  <r>
    <s v="ORD-00706"/>
    <d v="2025-08-03T00:00:00"/>
    <s v="CUST-0008"/>
    <x v="9"/>
    <x v="0"/>
    <x v="0"/>
    <n v="4"/>
    <n v="0.05"/>
    <x v="83"/>
    <n v="38.35"/>
  </r>
  <r>
    <s v="ORD-00707"/>
    <d v="2025-08-03T00:00:00"/>
    <s v="CUST-0116"/>
    <x v="9"/>
    <x v="0"/>
    <x v="3"/>
    <n v="2"/>
    <n v="0"/>
    <x v="167"/>
    <n v="15.52"/>
  </r>
  <r>
    <s v="ORD-00708"/>
    <d v="2025-08-03T00:00:00"/>
    <s v="CUST-0155"/>
    <x v="0"/>
    <x v="0"/>
    <x v="0"/>
    <n v="5"/>
    <n v="0.2"/>
    <x v="50"/>
    <n v="11.91"/>
  </r>
  <r>
    <s v="ORD-00709"/>
    <d v="2025-08-03T00:00:00"/>
    <s v="CUST-0234"/>
    <x v="0"/>
    <x v="0"/>
    <x v="0"/>
    <n v="1"/>
    <n v="0.2"/>
    <x v="158"/>
    <n v="9.57"/>
  </r>
  <r>
    <s v="ORD-00710"/>
    <d v="2025-08-04T00:00:00"/>
    <s v="CUST-0222"/>
    <x v="0"/>
    <x v="0"/>
    <x v="1"/>
    <n v="1"/>
    <n v="0.05"/>
    <x v="156"/>
    <n v="8.83"/>
  </r>
  <r>
    <s v="ORD-00711"/>
    <d v="2025-08-04T00:00:00"/>
    <s v="CUST-0273"/>
    <x v="1"/>
    <x v="1"/>
    <x v="2"/>
    <n v="4"/>
    <n v="0"/>
    <x v="9"/>
    <n v="133.15"/>
  </r>
  <r>
    <s v="ORD-00712"/>
    <d v="2025-08-04T00:00:00"/>
    <s v="CUST-0071"/>
    <x v="7"/>
    <x v="3"/>
    <x v="2"/>
    <n v="5"/>
    <n v="0"/>
    <x v="51"/>
    <n v="12.12"/>
  </r>
  <r>
    <s v="ORD-00713"/>
    <d v="2025-08-05T00:00:00"/>
    <s v="CUST-0216"/>
    <x v="7"/>
    <x v="3"/>
    <x v="1"/>
    <n v="2"/>
    <n v="0.05"/>
    <x v="45"/>
    <n v="5.0999999999999996"/>
  </r>
  <r>
    <s v="ORD-00714"/>
    <d v="2025-08-05T00:00:00"/>
    <s v="CUST-0296"/>
    <x v="1"/>
    <x v="1"/>
    <x v="2"/>
    <n v="5"/>
    <n v="0.1"/>
    <x v="152"/>
    <n v="74.650000000000006"/>
  </r>
  <r>
    <s v="ORD-00715"/>
    <d v="2025-08-05T00:00:00"/>
    <s v="CUST-0110"/>
    <x v="9"/>
    <x v="0"/>
    <x v="2"/>
    <n v="4"/>
    <n v="0.05"/>
    <x v="83"/>
    <n v="20.440000000000001"/>
  </r>
  <r>
    <s v="ORD-00716"/>
    <d v="2025-08-06T00:00:00"/>
    <s v="CUST-0039"/>
    <x v="9"/>
    <x v="0"/>
    <x v="2"/>
    <n v="5"/>
    <n v="0"/>
    <x v="154"/>
    <n v="53.11"/>
  </r>
  <r>
    <s v="ORD-00717"/>
    <d v="2025-08-06T00:00:00"/>
    <s v="CUST-0101"/>
    <x v="3"/>
    <x v="2"/>
    <x v="1"/>
    <n v="4"/>
    <n v="0.1"/>
    <x v="37"/>
    <n v="695.47"/>
  </r>
  <r>
    <s v="ORD-00718"/>
    <d v="2025-08-06T00:00:00"/>
    <s v="CUST-0278"/>
    <x v="8"/>
    <x v="0"/>
    <x v="1"/>
    <n v="4"/>
    <n v="0"/>
    <x v="25"/>
    <n v="56.06"/>
  </r>
  <r>
    <s v="ORD-00719"/>
    <d v="2025-08-06T00:00:00"/>
    <s v="CUST-0192"/>
    <x v="0"/>
    <x v="0"/>
    <x v="1"/>
    <n v="3"/>
    <n v="0.1"/>
    <x v="17"/>
    <n v="19.670000000000002"/>
  </r>
  <r>
    <s v="ORD-00720"/>
    <d v="2025-08-07T00:00:00"/>
    <s v="CUST-0145"/>
    <x v="7"/>
    <x v="3"/>
    <x v="0"/>
    <n v="3"/>
    <n v="0"/>
    <x v="30"/>
    <n v="8.2799999999999994"/>
  </r>
  <r>
    <s v="ORD-00721"/>
    <d v="2025-08-07T00:00:00"/>
    <s v="CUST-0184"/>
    <x v="0"/>
    <x v="0"/>
    <x v="1"/>
    <n v="2"/>
    <n v="0.15"/>
    <x v="185"/>
    <n v="24.05"/>
  </r>
  <r>
    <s v="ORD-00722"/>
    <d v="2025-08-07T00:00:00"/>
    <s v="CUST-0106"/>
    <x v="6"/>
    <x v="2"/>
    <x v="3"/>
    <n v="5"/>
    <n v="0.05"/>
    <x v="190"/>
    <n v="264.66000000000003"/>
  </r>
  <r>
    <s v="ORD-00723"/>
    <d v="2025-08-08T00:00:00"/>
    <s v="CUST-0148"/>
    <x v="0"/>
    <x v="0"/>
    <x v="1"/>
    <n v="5"/>
    <n v="0.2"/>
    <x v="50"/>
    <n v="0.57999999999999996"/>
  </r>
  <r>
    <s v="ORD-00724"/>
    <d v="2025-08-08T00:00:00"/>
    <s v="CUST-0038"/>
    <x v="2"/>
    <x v="1"/>
    <x v="3"/>
    <n v="2"/>
    <n v="0.05"/>
    <x v="124"/>
    <n v="87.47"/>
  </r>
  <r>
    <s v="ORD-00725"/>
    <d v="2025-08-08T00:00:00"/>
    <s v="CUST-0295"/>
    <x v="0"/>
    <x v="0"/>
    <x v="2"/>
    <n v="1"/>
    <n v="0.15"/>
    <x v="186"/>
    <n v="8.18"/>
  </r>
  <r>
    <s v="ORD-00726"/>
    <d v="2025-08-09T00:00:00"/>
    <s v="CUST-0077"/>
    <x v="6"/>
    <x v="2"/>
    <x v="0"/>
    <n v="5"/>
    <n v="0.15"/>
    <x v="11"/>
    <n v="79.709999999999994"/>
  </r>
  <r>
    <s v="ORD-00727"/>
    <d v="2025-08-09T00:00:00"/>
    <s v="CUST-0160"/>
    <x v="7"/>
    <x v="3"/>
    <x v="3"/>
    <n v="4"/>
    <n v="0.2"/>
    <x v="69"/>
    <n v="-0.21"/>
  </r>
  <r>
    <s v="ORD-00728"/>
    <d v="2025-08-09T00:00:00"/>
    <s v="CUST-0131"/>
    <x v="8"/>
    <x v="0"/>
    <x v="0"/>
    <n v="4"/>
    <n v="0"/>
    <x v="25"/>
    <n v="37.65"/>
  </r>
  <r>
    <s v="ORD-00729"/>
    <d v="2025-08-10T00:00:00"/>
    <s v="CUST-0200"/>
    <x v="8"/>
    <x v="0"/>
    <x v="3"/>
    <n v="2"/>
    <n v="0.2"/>
    <x v="88"/>
    <n v="5.33"/>
  </r>
  <r>
    <s v="ORD-00730"/>
    <d v="2025-08-10T00:00:00"/>
    <s v="CUST-0256"/>
    <x v="9"/>
    <x v="0"/>
    <x v="3"/>
    <n v="1"/>
    <n v="0.15"/>
    <x v="109"/>
    <n v="5.38"/>
  </r>
  <r>
    <s v="ORD-00731"/>
    <d v="2025-08-10T00:00:00"/>
    <s v="CUST-0190"/>
    <x v="3"/>
    <x v="2"/>
    <x v="2"/>
    <n v="3"/>
    <n v="0.15"/>
    <x v="91"/>
    <n v="138.09"/>
  </r>
  <r>
    <s v="ORD-00732"/>
    <d v="2025-08-10T00:00:00"/>
    <s v="CUST-0084"/>
    <x v="6"/>
    <x v="2"/>
    <x v="3"/>
    <n v="1"/>
    <n v="0.05"/>
    <x v="134"/>
    <n v="54.24"/>
  </r>
  <r>
    <s v="ORD-00733"/>
    <d v="2025-08-11T00:00:00"/>
    <s v="CUST-0114"/>
    <x v="8"/>
    <x v="0"/>
    <x v="0"/>
    <n v="4"/>
    <n v="0"/>
    <x v="25"/>
    <n v="37.06"/>
  </r>
  <r>
    <s v="ORD-00734"/>
    <d v="2025-08-11T00:00:00"/>
    <s v="CUST-0273"/>
    <x v="1"/>
    <x v="1"/>
    <x v="2"/>
    <n v="4"/>
    <n v="0.15"/>
    <x v="68"/>
    <n v="143.71"/>
  </r>
  <r>
    <s v="ORD-00735"/>
    <d v="2025-08-11T00:00:00"/>
    <s v="CUST-0264"/>
    <x v="7"/>
    <x v="3"/>
    <x v="3"/>
    <n v="2"/>
    <n v="0.2"/>
    <x v="130"/>
    <n v="-0.14000000000000001"/>
  </r>
  <r>
    <s v="ORD-00736"/>
    <d v="2025-08-12T00:00:00"/>
    <s v="CUST-0156"/>
    <x v="7"/>
    <x v="3"/>
    <x v="0"/>
    <n v="3"/>
    <n v="0.1"/>
    <x v="132"/>
    <n v="6.69"/>
  </r>
  <r>
    <s v="ORD-00737"/>
    <d v="2025-08-12T00:00:00"/>
    <s v="CUST-0286"/>
    <x v="0"/>
    <x v="0"/>
    <x v="3"/>
    <n v="2"/>
    <n v="0.15"/>
    <x v="185"/>
    <n v="14.02"/>
  </r>
  <r>
    <s v="ORD-00738"/>
    <d v="2025-08-12T00:00:00"/>
    <s v="CUST-0171"/>
    <x v="5"/>
    <x v="2"/>
    <x v="0"/>
    <n v="5"/>
    <n v="0.1"/>
    <x v="10"/>
    <n v="73.94"/>
  </r>
  <r>
    <s v="ORD-00739"/>
    <d v="2025-08-13T00:00:00"/>
    <s v="CUST-0201"/>
    <x v="2"/>
    <x v="1"/>
    <x v="2"/>
    <n v="1"/>
    <n v="0.1"/>
    <x v="39"/>
    <n v="34.53"/>
  </r>
  <r>
    <s v="ORD-00740"/>
    <d v="2025-08-13T00:00:00"/>
    <s v="CUST-0180"/>
    <x v="7"/>
    <x v="3"/>
    <x v="1"/>
    <n v="4"/>
    <n v="0.1"/>
    <x v="188"/>
    <n v="8.64"/>
  </r>
  <r>
    <s v="ORD-00741"/>
    <d v="2025-08-13T00:00:00"/>
    <s v="CUST-0001"/>
    <x v="3"/>
    <x v="2"/>
    <x v="2"/>
    <n v="1"/>
    <n v="0.05"/>
    <x v="27"/>
    <n v="105.41"/>
  </r>
  <r>
    <s v="ORD-00742"/>
    <d v="2025-08-13T00:00:00"/>
    <s v="CUST-0271"/>
    <x v="4"/>
    <x v="2"/>
    <x v="2"/>
    <n v="3"/>
    <n v="0.05"/>
    <x v="67"/>
    <n v="423.76"/>
  </r>
  <r>
    <s v="ORD-00743"/>
    <d v="2025-08-14T00:00:00"/>
    <s v="CUST-0072"/>
    <x v="3"/>
    <x v="2"/>
    <x v="3"/>
    <n v="5"/>
    <n v="0"/>
    <x v="189"/>
    <n v="839.59"/>
  </r>
  <r>
    <s v="ORD-00744"/>
    <d v="2025-08-14T00:00:00"/>
    <s v="CUST-0139"/>
    <x v="3"/>
    <x v="2"/>
    <x v="3"/>
    <n v="3"/>
    <n v="0.15"/>
    <x v="91"/>
    <n v="295.58"/>
  </r>
  <r>
    <s v="ORD-00745"/>
    <d v="2025-08-14T00:00:00"/>
    <s v="CUST-0056"/>
    <x v="3"/>
    <x v="2"/>
    <x v="1"/>
    <n v="1"/>
    <n v="0"/>
    <x v="176"/>
    <n v="158.94"/>
  </r>
  <r>
    <s v="ORD-00746"/>
    <d v="2025-08-15T00:00:00"/>
    <s v="CUST-0200"/>
    <x v="8"/>
    <x v="0"/>
    <x v="0"/>
    <n v="2"/>
    <n v="0.05"/>
    <x v="75"/>
    <n v="16.21"/>
  </r>
  <r>
    <s v="ORD-00747"/>
    <d v="2025-08-15T00:00:00"/>
    <s v="CUST-0149"/>
    <x v="3"/>
    <x v="2"/>
    <x v="3"/>
    <n v="3"/>
    <n v="0.05"/>
    <x v="60"/>
    <n v="529.41999999999996"/>
  </r>
  <r>
    <s v="ORD-00748"/>
    <d v="2025-08-15T00:00:00"/>
    <s v="CUST-0006"/>
    <x v="5"/>
    <x v="2"/>
    <x v="3"/>
    <n v="3"/>
    <n v="0.1"/>
    <x v="56"/>
    <n v="38.53"/>
  </r>
  <r>
    <s v="ORD-00749"/>
    <d v="2025-08-16T00:00:00"/>
    <s v="CUST-0244"/>
    <x v="9"/>
    <x v="0"/>
    <x v="2"/>
    <n v="4"/>
    <n v="0.15"/>
    <x v="191"/>
    <n v="4.87"/>
  </r>
  <r>
    <s v="ORD-00750"/>
    <d v="2025-08-16T00:00:00"/>
    <s v="CUST-0269"/>
    <x v="8"/>
    <x v="0"/>
    <x v="2"/>
    <n v="2"/>
    <n v="0.2"/>
    <x v="88"/>
    <n v="10.08"/>
  </r>
  <r>
    <s v="ORD-00751"/>
    <d v="2025-08-16T00:00:00"/>
    <s v="CUST-0083"/>
    <x v="7"/>
    <x v="3"/>
    <x v="1"/>
    <n v="1"/>
    <n v="0.1"/>
    <x v="47"/>
    <n v="1.24"/>
  </r>
  <r>
    <s v="ORD-00752"/>
    <d v="2025-08-16T00:00:00"/>
    <s v="CUST-0296"/>
    <x v="4"/>
    <x v="2"/>
    <x v="0"/>
    <n v="3"/>
    <n v="0.15"/>
    <x v="13"/>
    <n v="318.3"/>
  </r>
  <r>
    <s v="ORD-00753"/>
    <d v="2025-08-17T00:00:00"/>
    <s v="CUST-0137"/>
    <x v="9"/>
    <x v="0"/>
    <x v="3"/>
    <n v="2"/>
    <n v="0.2"/>
    <x v="192"/>
    <n v="10.06"/>
  </r>
  <r>
    <s v="ORD-00754"/>
    <d v="2025-08-17T00:00:00"/>
    <s v="CUST-0237"/>
    <x v="9"/>
    <x v="0"/>
    <x v="0"/>
    <n v="4"/>
    <n v="0.05"/>
    <x v="83"/>
    <n v="31.41"/>
  </r>
  <r>
    <s v="ORD-00755"/>
    <d v="2025-08-17T00:00:00"/>
    <s v="CUST-0073"/>
    <x v="5"/>
    <x v="2"/>
    <x v="1"/>
    <n v="3"/>
    <n v="0"/>
    <x v="76"/>
    <n v="68.59"/>
  </r>
  <r>
    <s v="ORD-00756"/>
    <d v="2025-08-18T00:00:00"/>
    <s v="CUST-0195"/>
    <x v="1"/>
    <x v="1"/>
    <x v="1"/>
    <n v="2"/>
    <n v="0"/>
    <x v="10"/>
    <n v="115.61"/>
  </r>
  <r>
    <s v="ORD-00757"/>
    <d v="2025-08-18T00:00:00"/>
    <s v="CUST-0282"/>
    <x v="3"/>
    <x v="2"/>
    <x v="3"/>
    <n v="3"/>
    <n v="0"/>
    <x v="170"/>
    <n v="482.23"/>
  </r>
  <r>
    <s v="ORD-00758"/>
    <d v="2025-08-18T00:00:00"/>
    <s v="CUST-0087"/>
    <x v="5"/>
    <x v="2"/>
    <x v="2"/>
    <n v="2"/>
    <n v="0.15"/>
    <x v="150"/>
    <n v="7.71"/>
  </r>
  <r>
    <s v="ORD-00759"/>
    <d v="2025-08-19T00:00:00"/>
    <s v="CUST-0149"/>
    <x v="0"/>
    <x v="0"/>
    <x v="0"/>
    <n v="1"/>
    <n v="0.05"/>
    <x v="156"/>
    <n v="10.119999999999999"/>
  </r>
  <r>
    <s v="ORD-00760"/>
    <d v="2025-08-19T00:00:00"/>
    <s v="CUST-0294"/>
    <x v="1"/>
    <x v="1"/>
    <x v="0"/>
    <n v="1"/>
    <n v="0.15"/>
    <x v="163"/>
    <n v="35.159999999999997"/>
  </r>
  <r>
    <s v="ORD-00761"/>
    <d v="2025-08-19T00:00:00"/>
    <s v="CUST-0025"/>
    <x v="7"/>
    <x v="3"/>
    <x v="0"/>
    <n v="2"/>
    <n v="0"/>
    <x v="58"/>
    <n v="3.73"/>
  </r>
  <r>
    <s v="ORD-00762"/>
    <d v="2025-08-20T00:00:00"/>
    <s v="CUST-0112"/>
    <x v="9"/>
    <x v="0"/>
    <x v="2"/>
    <n v="1"/>
    <n v="0.05"/>
    <x v="153"/>
    <n v="7.77"/>
  </r>
  <r>
    <s v="ORD-00763"/>
    <d v="2025-08-20T00:00:00"/>
    <s v="CUST-0227"/>
    <x v="0"/>
    <x v="0"/>
    <x v="1"/>
    <n v="4"/>
    <n v="0.1"/>
    <x v="39"/>
    <n v="56.94"/>
  </r>
  <r>
    <s v="ORD-00764"/>
    <d v="2025-08-20T00:00:00"/>
    <s v="CUST-0180"/>
    <x v="9"/>
    <x v="0"/>
    <x v="0"/>
    <n v="3"/>
    <n v="0.05"/>
    <x v="75"/>
    <n v="19.61"/>
  </r>
  <r>
    <s v="ORD-00765"/>
    <d v="2025-08-20T00:00:00"/>
    <s v="CUST-0237"/>
    <x v="9"/>
    <x v="0"/>
    <x v="0"/>
    <n v="3"/>
    <n v="0.15"/>
    <x v="96"/>
    <n v="18.82"/>
  </r>
  <r>
    <s v="ORD-00766"/>
    <d v="2025-08-21T00:00:00"/>
    <s v="CUST-0197"/>
    <x v="0"/>
    <x v="0"/>
    <x v="0"/>
    <n v="5"/>
    <n v="0"/>
    <x v="61"/>
    <n v="50.57"/>
  </r>
  <r>
    <s v="ORD-00767"/>
    <d v="2025-08-21T00:00:00"/>
    <s v="CUST-0267"/>
    <x v="5"/>
    <x v="2"/>
    <x v="2"/>
    <n v="1"/>
    <n v="0.1"/>
    <x v="88"/>
    <n v="12.53"/>
  </r>
  <r>
    <s v="ORD-00768"/>
    <d v="2025-08-21T00:00:00"/>
    <s v="CUST-0220"/>
    <x v="0"/>
    <x v="0"/>
    <x v="1"/>
    <n v="2"/>
    <n v="0.15"/>
    <x v="185"/>
    <n v="8.84"/>
  </r>
  <r>
    <s v="ORD-00769"/>
    <d v="2025-08-22T00:00:00"/>
    <s v="CUST-0247"/>
    <x v="6"/>
    <x v="2"/>
    <x v="3"/>
    <n v="2"/>
    <n v="0.05"/>
    <x v="119"/>
    <n v="125.04"/>
  </r>
  <r>
    <s v="ORD-00770"/>
    <d v="2025-08-22T00:00:00"/>
    <s v="CUST-0040"/>
    <x v="1"/>
    <x v="1"/>
    <x v="0"/>
    <n v="1"/>
    <n v="0.1"/>
    <x v="70"/>
    <n v="33.909999999999997"/>
  </r>
  <r>
    <s v="ORD-00771"/>
    <d v="2025-08-22T00:00:00"/>
    <s v="CUST-0209"/>
    <x v="3"/>
    <x v="2"/>
    <x v="1"/>
    <n v="1"/>
    <n v="0"/>
    <x v="176"/>
    <n v="157.46"/>
  </r>
  <r>
    <s v="ORD-00772"/>
    <d v="2025-08-23T00:00:00"/>
    <s v="CUST-0175"/>
    <x v="8"/>
    <x v="0"/>
    <x v="0"/>
    <n v="3"/>
    <n v="0.05"/>
    <x v="174"/>
    <n v="34.76"/>
  </r>
  <r>
    <s v="ORD-00773"/>
    <d v="2025-08-23T00:00:00"/>
    <s v="CUST-0078"/>
    <x v="3"/>
    <x v="2"/>
    <x v="0"/>
    <n v="2"/>
    <n v="0"/>
    <x v="162"/>
    <n v="277.01"/>
  </r>
  <r>
    <s v="ORD-00774"/>
    <d v="2025-08-23T00:00:00"/>
    <s v="CUST-0143"/>
    <x v="8"/>
    <x v="0"/>
    <x v="1"/>
    <n v="3"/>
    <n v="0"/>
    <x v="26"/>
    <n v="41.01"/>
  </r>
  <r>
    <s v="ORD-00775"/>
    <d v="2025-08-23T00:00:00"/>
    <s v="CUST-0197"/>
    <x v="3"/>
    <x v="2"/>
    <x v="1"/>
    <n v="5"/>
    <n v="0"/>
    <x v="189"/>
    <n v="1224.1099999999999"/>
  </r>
  <r>
    <s v="ORD-00776"/>
    <d v="2025-08-24T00:00:00"/>
    <s v="CUST-0005"/>
    <x v="7"/>
    <x v="3"/>
    <x v="1"/>
    <n v="1"/>
    <n v="0.05"/>
    <x v="87"/>
    <n v="1.68"/>
  </r>
  <r>
    <s v="ORD-00777"/>
    <d v="2025-08-24T00:00:00"/>
    <s v="CUST-0273"/>
    <x v="1"/>
    <x v="1"/>
    <x v="0"/>
    <n v="3"/>
    <n v="0.1"/>
    <x v="28"/>
    <n v="46.32"/>
  </r>
  <r>
    <s v="ORD-00778"/>
    <d v="2025-08-24T00:00:00"/>
    <s v="CUST-0239"/>
    <x v="0"/>
    <x v="0"/>
    <x v="2"/>
    <n v="4"/>
    <n v="0"/>
    <x v="50"/>
    <n v="56.64"/>
  </r>
  <r>
    <s v="ORD-00779"/>
    <d v="2025-08-25T00:00:00"/>
    <s v="CUST-0163"/>
    <x v="4"/>
    <x v="2"/>
    <x v="2"/>
    <n v="1"/>
    <n v="0.1"/>
    <x v="34"/>
    <n v="116.85"/>
  </r>
  <r>
    <s v="ORD-00780"/>
    <d v="2025-08-25T00:00:00"/>
    <s v="CUST-0145"/>
    <x v="7"/>
    <x v="3"/>
    <x v="3"/>
    <n v="4"/>
    <n v="0.15"/>
    <x v="98"/>
    <n v="3.44"/>
  </r>
  <r>
    <s v="ORD-00781"/>
    <d v="2025-08-25T00:00:00"/>
    <s v="CUST-0128"/>
    <x v="5"/>
    <x v="2"/>
    <x v="1"/>
    <n v="1"/>
    <n v="0.05"/>
    <x v="102"/>
    <n v="14.4"/>
  </r>
  <r>
    <s v="ORD-00782"/>
    <d v="2025-08-26T00:00:00"/>
    <s v="CUST-0190"/>
    <x v="2"/>
    <x v="1"/>
    <x v="2"/>
    <n v="4"/>
    <n v="0.1"/>
    <x v="133"/>
    <n v="241.27"/>
  </r>
  <r>
    <s v="ORD-00783"/>
    <d v="2025-08-26T00:00:00"/>
    <s v="CUST-0259"/>
    <x v="7"/>
    <x v="3"/>
    <x v="1"/>
    <n v="4"/>
    <n v="0.1"/>
    <x v="188"/>
    <n v="4.42"/>
  </r>
  <r>
    <s v="ORD-00784"/>
    <d v="2025-08-26T00:00:00"/>
    <s v="CUST-0264"/>
    <x v="9"/>
    <x v="0"/>
    <x v="3"/>
    <n v="3"/>
    <n v="0.05"/>
    <x v="75"/>
    <n v="24.07"/>
  </r>
  <r>
    <s v="ORD-00785"/>
    <d v="2025-08-27T00:00:00"/>
    <s v="CUST-0286"/>
    <x v="9"/>
    <x v="0"/>
    <x v="1"/>
    <n v="4"/>
    <n v="0.2"/>
    <x v="173"/>
    <n v="6.35"/>
  </r>
  <r>
    <s v="ORD-00786"/>
    <d v="2025-08-27T00:00:00"/>
    <s v="CUST-0060"/>
    <x v="8"/>
    <x v="0"/>
    <x v="1"/>
    <n v="2"/>
    <n v="0"/>
    <x v="106"/>
    <n v="20.14"/>
  </r>
  <r>
    <s v="ORD-00787"/>
    <d v="2025-08-27T00:00:00"/>
    <s v="CUST-0108"/>
    <x v="0"/>
    <x v="0"/>
    <x v="2"/>
    <n v="5"/>
    <n v="0"/>
    <x v="61"/>
    <n v="52.63"/>
  </r>
  <r>
    <s v="ORD-00788"/>
    <d v="2025-08-27T00:00:00"/>
    <s v="CUST-0096"/>
    <x v="0"/>
    <x v="0"/>
    <x v="0"/>
    <n v="2"/>
    <n v="0.15"/>
    <x v="185"/>
    <n v="14.65"/>
  </r>
  <r>
    <s v="ORD-00789"/>
    <d v="2025-08-28T00:00:00"/>
    <s v="CUST-0106"/>
    <x v="2"/>
    <x v="1"/>
    <x v="3"/>
    <n v="2"/>
    <n v="0.1"/>
    <x v="146"/>
    <n v="94.58"/>
  </r>
  <r>
    <s v="ORD-00790"/>
    <d v="2025-08-28T00:00:00"/>
    <s v="CUST-0214"/>
    <x v="3"/>
    <x v="2"/>
    <x v="2"/>
    <n v="4"/>
    <n v="0.05"/>
    <x v="12"/>
    <n v="736.37"/>
  </r>
  <r>
    <s v="ORD-00791"/>
    <d v="2025-08-28T00:00:00"/>
    <s v="CUST-0247"/>
    <x v="8"/>
    <x v="0"/>
    <x v="3"/>
    <n v="3"/>
    <n v="0.2"/>
    <x v="164"/>
    <n v="13.49"/>
  </r>
  <r>
    <s v="ORD-00792"/>
    <d v="2025-08-29T00:00:00"/>
    <s v="CUST-0270"/>
    <x v="7"/>
    <x v="3"/>
    <x v="0"/>
    <n v="3"/>
    <n v="0.2"/>
    <x v="105"/>
    <n v="3.4"/>
  </r>
  <r>
    <s v="ORD-00793"/>
    <d v="2025-08-29T00:00:00"/>
    <s v="CUST-0202"/>
    <x v="5"/>
    <x v="2"/>
    <x v="3"/>
    <n v="1"/>
    <n v="0.05"/>
    <x v="102"/>
    <n v="23.23"/>
  </r>
  <r>
    <s v="ORD-00794"/>
    <d v="2025-08-29T00:00:00"/>
    <s v="CUST-0237"/>
    <x v="2"/>
    <x v="1"/>
    <x v="2"/>
    <n v="4"/>
    <n v="0.1"/>
    <x v="133"/>
    <n v="172.97"/>
  </r>
  <r>
    <s v="ORD-00795"/>
    <d v="2025-08-30T00:00:00"/>
    <s v="CUST-0094"/>
    <x v="6"/>
    <x v="2"/>
    <x v="3"/>
    <n v="2"/>
    <n v="0.15"/>
    <x v="64"/>
    <n v="102.32"/>
  </r>
  <r>
    <s v="ORD-00796"/>
    <d v="2025-08-30T00:00:00"/>
    <s v="CUST-0226"/>
    <x v="6"/>
    <x v="2"/>
    <x v="1"/>
    <n v="1"/>
    <n v="0.1"/>
    <x v="56"/>
    <n v="38.28"/>
  </r>
  <r>
    <s v="ORD-00797"/>
    <d v="2025-08-30T00:00:00"/>
    <s v="CUST-0173"/>
    <x v="4"/>
    <x v="2"/>
    <x v="3"/>
    <n v="3"/>
    <n v="0"/>
    <x v="175"/>
    <n v="319.52"/>
  </r>
  <r>
    <s v="ORD-00798"/>
    <d v="2025-08-30T00:00:00"/>
    <s v="CUST-0121"/>
    <x v="0"/>
    <x v="0"/>
    <x v="1"/>
    <n v="1"/>
    <n v="0"/>
    <x v="112"/>
    <n v="11.35"/>
  </r>
  <r>
    <s v="ORD-00799"/>
    <d v="2025-08-31T00:00:00"/>
    <s v="CUST-0018"/>
    <x v="5"/>
    <x v="2"/>
    <x v="3"/>
    <n v="3"/>
    <n v="0"/>
    <x v="76"/>
    <n v="63.65"/>
  </r>
  <r>
    <s v="ORD-00800"/>
    <d v="2025-08-31T00:00:00"/>
    <s v="CUST-0239"/>
    <x v="2"/>
    <x v="1"/>
    <x v="2"/>
    <n v="3"/>
    <n v="0.1"/>
    <x v="41"/>
    <n v="183.31"/>
  </r>
  <r>
    <s v="ORD-00801"/>
    <d v="2025-08-31T00:00:00"/>
    <s v="CUST-0246"/>
    <x v="7"/>
    <x v="3"/>
    <x v="1"/>
    <n v="4"/>
    <n v="0.05"/>
    <x v="19"/>
    <n v="6.94"/>
  </r>
  <r>
    <s v="ORD-00802"/>
    <d v="2025-09-01T00:00:00"/>
    <s v="CUST-0072"/>
    <x v="7"/>
    <x v="3"/>
    <x v="3"/>
    <n v="3"/>
    <n v="0.1"/>
    <x v="132"/>
    <n v="4"/>
  </r>
  <r>
    <s v="ORD-00803"/>
    <d v="2025-09-01T00:00:00"/>
    <s v="CUST-0017"/>
    <x v="0"/>
    <x v="0"/>
    <x v="3"/>
    <n v="4"/>
    <n v="0.05"/>
    <x v="3"/>
    <n v="35.979999999999997"/>
  </r>
  <r>
    <s v="ORD-00804"/>
    <d v="2025-09-01T00:00:00"/>
    <s v="CUST-0208"/>
    <x v="3"/>
    <x v="2"/>
    <x v="2"/>
    <n v="4"/>
    <n v="0.15"/>
    <x v="121"/>
    <n v="114.19"/>
  </r>
  <r>
    <s v="ORD-00805"/>
    <d v="2025-09-02T00:00:00"/>
    <s v="CUST-0151"/>
    <x v="8"/>
    <x v="0"/>
    <x v="2"/>
    <n v="5"/>
    <n v="0.1"/>
    <x v="182"/>
    <n v="50.07"/>
  </r>
  <r>
    <s v="ORD-00806"/>
    <d v="2025-09-02T00:00:00"/>
    <s v="CUST-0285"/>
    <x v="7"/>
    <x v="3"/>
    <x v="3"/>
    <n v="5"/>
    <n v="0.15"/>
    <x v="48"/>
    <n v="3.13"/>
  </r>
  <r>
    <s v="ORD-00807"/>
    <d v="2025-09-02T00:00:00"/>
    <s v="CUST-0064"/>
    <x v="1"/>
    <x v="1"/>
    <x v="0"/>
    <n v="4"/>
    <n v="0"/>
    <x v="9"/>
    <n v="191.23"/>
  </r>
  <r>
    <s v="ORD-00808"/>
    <d v="2025-09-02T00:00:00"/>
    <s v="CUST-0164"/>
    <x v="0"/>
    <x v="0"/>
    <x v="1"/>
    <n v="4"/>
    <n v="0.1"/>
    <x v="39"/>
    <n v="29.31"/>
  </r>
  <r>
    <s v="ORD-00809"/>
    <d v="2025-09-03T00:00:00"/>
    <s v="CUST-0045"/>
    <x v="8"/>
    <x v="0"/>
    <x v="3"/>
    <n v="2"/>
    <n v="0"/>
    <x v="106"/>
    <n v="33.58"/>
  </r>
  <r>
    <s v="ORD-00810"/>
    <d v="2025-09-03T00:00:00"/>
    <s v="CUST-0221"/>
    <x v="0"/>
    <x v="0"/>
    <x v="2"/>
    <n v="2"/>
    <n v="0"/>
    <x v="1"/>
    <n v="27.69"/>
  </r>
  <r>
    <s v="ORD-00811"/>
    <d v="2025-09-03T00:00:00"/>
    <s v="CUST-0231"/>
    <x v="8"/>
    <x v="0"/>
    <x v="3"/>
    <n v="4"/>
    <n v="0.15"/>
    <x v="163"/>
    <n v="30.7"/>
  </r>
  <r>
    <s v="ORD-00812"/>
    <d v="2025-09-04T00:00:00"/>
    <s v="CUST-0009"/>
    <x v="4"/>
    <x v="2"/>
    <x v="2"/>
    <n v="4"/>
    <n v="0.1"/>
    <x v="5"/>
    <n v="229.57"/>
  </r>
  <r>
    <s v="ORD-00813"/>
    <d v="2025-09-04T00:00:00"/>
    <s v="CUST-0126"/>
    <x v="1"/>
    <x v="1"/>
    <x v="3"/>
    <n v="2"/>
    <n v="0.05"/>
    <x v="73"/>
    <n v="107.55"/>
  </r>
  <r>
    <s v="ORD-00814"/>
    <d v="2025-09-04T00:00:00"/>
    <s v="CUST-0077"/>
    <x v="2"/>
    <x v="1"/>
    <x v="1"/>
    <n v="2"/>
    <n v="0"/>
    <x v="151"/>
    <n v="80.099999999999994"/>
  </r>
  <r>
    <s v="ORD-00815"/>
    <d v="2025-09-05T00:00:00"/>
    <s v="CUST-0159"/>
    <x v="6"/>
    <x v="2"/>
    <x v="2"/>
    <n v="2"/>
    <n v="0.1"/>
    <x v="33"/>
    <n v="123.14"/>
  </r>
  <r>
    <s v="ORD-00816"/>
    <d v="2025-09-05T00:00:00"/>
    <s v="CUST-0095"/>
    <x v="4"/>
    <x v="2"/>
    <x v="0"/>
    <n v="1"/>
    <n v="0.1"/>
    <x v="34"/>
    <n v="76.209999999999994"/>
  </r>
  <r>
    <s v="ORD-00817"/>
    <d v="2025-09-05T00:00:00"/>
    <s v="CUST-0273"/>
    <x v="5"/>
    <x v="2"/>
    <x v="2"/>
    <n v="3"/>
    <n v="0.05"/>
    <x v="134"/>
    <n v="58.68"/>
  </r>
  <r>
    <s v="ORD-00818"/>
    <d v="2025-09-06T00:00:00"/>
    <s v="CUST-0004"/>
    <x v="0"/>
    <x v="0"/>
    <x v="3"/>
    <n v="5"/>
    <n v="0.05"/>
    <x v="46"/>
    <n v="75.41"/>
  </r>
  <r>
    <s v="ORD-00819"/>
    <d v="2025-09-06T00:00:00"/>
    <s v="CUST-0047"/>
    <x v="7"/>
    <x v="3"/>
    <x v="2"/>
    <n v="2"/>
    <n v="0.05"/>
    <x v="45"/>
    <n v="3.77"/>
  </r>
  <r>
    <s v="ORD-00820"/>
    <d v="2025-09-06T00:00:00"/>
    <s v="CUST-0260"/>
    <x v="2"/>
    <x v="1"/>
    <x v="2"/>
    <n v="2"/>
    <n v="0.15"/>
    <x v="80"/>
    <n v="48.18"/>
  </r>
  <r>
    <s v="ORD-00821"/>
    <d v="2025-09-06T00:00:00"/>
    <s v="CUST-0195"/>
    <x v="4"/>
    <x v="2"/>
    <x v="2"/>
    <n v="2"/>
    <n v="0.05"/>
    <x v="107"/>
    <n v="311.35000000000002"/>
  </r>
  <r>
    <s v="ORD-00822"/>
    <d v="2025-09-07T00:00:00"/>
    <s v="CUST-0144"/>
    <x v="4"/>
    <x v="2"/>
    <x v="1"/>
    <n v="2"/>
    <n v="0.15"/>
    <x v="141"/>
    <n v="41.21"/>
  </r>
  <r>
    <s v="ORD-00823"/>
    <d v="2025-09-07T00:00:00"/>
    <s v="CUST-0266"/>
    <x v="8"/>
    <x v="0"/>
    <x v="2"/>
    <n v="4"/>
    <n v="0.05"/>
    <x v="136"/>
    <n v="31.73"/>
  </r>
  <r>
    <s v="ORD-00824"/>
    <d v="2025-09-07T00:00:00"/>
    <s v="CUST-0042"/>
    <x v="7"/>
    <x v="3"/>
    <x v="3"/>
    <n v="1"/>
    <n v="0.1"/>
    <x v="47"/>
    <n v="1.04"/>
  </r>
  <r>
    <s v="ORD-00825"/>
    <d v="2025-09-08T00:00:00"/>
    <s v="CUST-0283"/>
    <x v="2"/>
    <x v="1"/>
    <x v="0"/>
    <n v="5"/>
    <n v="0.1"/>
    <x v="140"/>
    <n v="121.12"/>
  </r>
  <r>
    <s v="ORD-00826"/>
    <d v="2025-09-08T00:00:00"/>
    <s v="CUST-0073"/>
    <x v="5"/>
    <x v="2"/>
    <x v="2"/>
    <n v="2"/>
    <n v="0.1"/>
    <x v="81"/>
    <n v="31.64"/>
  </r>
  <r>
    <s v="ORD-00827"/>
    <d v="2025-09-08T00:00:00"/>
    <s v="CUST-0176"/>
    <x v="7"/>
    <x v="3"/>
    <x v="2"/>
    <n v="1"/>
    <n v="0.1"/>
    <x v="47"/>
    <n v="0.95"/>
  </r>
  <r>
    <s v="ORD-00828"/>
    <d v="2025-09-09T00:00:00"/>
    <s v="CUST-0164"/>
    <x v="0"/>
    <x v="0"/>
    <x v="2"/>
    <n v="4"/>
    <n v="0.15"/>
    <x v="137"/>
    <n v="20.99"/>
  </r>
  <r>
    <s v="ORD-00829"/>
    <d v="2025-09-09T00:00:00"/>
    <s v="CUST-0194"/>
    <x v="8"/>
    <x v="0"/>
    <x v="0"/>
    <n v="3"/>
    <n v="0.1"/>
    <x v="126"/>
    <n v="16.05"/>
  </r>
  <r>
    <s v="ORD-00830"/>
    <d v="2025-09-09T00:00:00"/>
    <s v="CUST-0110"/>
    <x v="2"/>
    <x v="1"/>
    <x v="1"/>
    <n v="4"/>
    <n v="0"/>
    <x v="138"/>
    <n v="330.06"/>
  </r>
  <r>
    <s v="ORD-00831"/>
    <d v="2025-09-09T00:00:00"/>
    <s v="CUST-0150"/>
    <x v="2"/>
    <x v="1"/>
    <x v="2"/>
    <n v="2"/>
    <n v="0"/>
    <x v="151"/>
    <n v="96.78"/>
  </r>
  <r>
    <s v="ORD-00832"/>
    <d v="2025-09-10T00:00:00"/>
    <s v="CUST-0127"/>
    <x v="8"/>
    <x v="0"/>
    <x v="2"/>
    <n v="4"/>
    <n v="0.2"/>
    <x v="81"/>
    <n v="6.23"/>
  </r>
  <r>
    <s v="ORD-00833"/>
    <d v="2025-09-10T00:00:00"/>
    <s v="CUST-0148"/>
    <x v="1"/>
    <x v="1"/>
    <x v="1"/>
    <n v="1"/>
    <n v="0.05"/>
    <x v="136"/>
    <n v="29.25"/>
  </r>
  <r>
    <s v="ORD-00834"/>
    <d v="2025-09-10T00:00:00"/>
    <s v="CUST-0187"/>
    <x v="8"/>
    <x v="0"/>
    <x v="0"/>
    <n v="3"/>
    <n v="0.05"/>
    <x v="174"/>
    <n v="24.13"/>
  </r>
  <r>
    <s v="ORD-00835"/>
    <d v="2025-09-11T00:00:00"/>
    <s v="CUST-0206"/>
    <x v="1"/>
    <x v="1"/>
    <x v="1"/>
    <n v="5"/>
    <n v="0.1"/>
    <x v="152"/>
    <n v="145.18"/>
  </r>
  <r>
    <s v="ORD-00836"/>
    <d v="2025-09-11T00:00:00"/>
    <s v="CUST-0046"/>
    <x v="3"/>
    <x v="2"/>
    <x v="2"/>
    <n v="5"/>
    <n v="0.15"/>
    <x v="74"/>
    <n v="664.71"/>
  </r>
  <r>
    <s v="ORD-00837"/>
    <d v="2025-09-11T00:00:00"/>
    <s v="CUST-0261"/>
    <x v="3"/>
    <x v="2"/>
    <x v="0"/>
    <n v="1"/>
    <n v="0.05"/>
    <x v="27"/>
    <n v="149.63"/>
  </r>
  <r>
    <s v="ORD-00838"/>
    <d v="2025-09-12T00:00:00"/>
    <s v="CUST-0245"/>
    <x v="1"/>
    <x v="1"/>
    <x v="3"/>
    <n v="3"/>
    <n v="0.05"/>
    <x v="157"/>
    <n v="81.95"/>
  </r>
  <r>
    <s v="ORD-00839"/>
    <d v="2025-09-12T00:00:00"/>
    <s v="CUST-0190"/>
    <x v="4"/>
    <x v="2"/>
    <x v="3"/>
    <n v="1"/>
    <n v="0.1"/>
    <x v="34"/>
    <n v="125.18"/>
  </r>
  <r>
    <s v="ORD-00840"/>
    <d v="2025-09-12T00:00:00"/>
    <s v="CUST-0201"/>
    <x v="9"/>
    <x v="0"/>
    <x v="0"/>
    <n v="5"/>
    <n v="0.2"/>
    <x v="72"/>
    <n v="10.029999999999999"/>
  </r>
  <r>
    <s v="ORD-00841"/>
    <d v="2025-09-13T00:00:00"/>
    <s v="CUST-0219"/>
    <x v="8"/>
    <x v="0"/>
    <x v="0"/>
    <n v="1"/>
    <n v="0.05"/>
    <x v="22"/>
    <n v="8.85"/>
  </r>
  <r>
    <s v="ORD-00842"/>
    <d v="2025-09-13T00:00:00"/>
    <s v="CUST-0075"/>
    <x v="9"/>
    <x v="0"/>
    <x v="3"/>
    <n v="1"/>
    <n v="0.05"/>
    <x v="153"/>
    <n v="9.32"/>
  </r>
  <r>
    <s v="ORD-00843"/>
    <d v="2025-09-13T00:00:00"/>
    <s v="CUST-0099"/>
    <x v="8"/>
    <x v="0"/>
    <x v="2"/>
    <n v="3"/>
    <n v="0.1"/>
    <x v="126"/>
    <n v="14.21"/>
  </r>
  <r>
    <s v="ORD-00844"/>
    <d v="2025-09-13T00:00:00"/>
    <s v="CUST-0129"/>
    <x v="4"/>
    <x v="2"/>
    <x v="0"/>
    <n v="1"/>
    <n v="0.05"/>
    <x v="18"/>
    <n v="117.35"/>
  </r>
  <r>
    <s v="ORD-00845"/>
    <d v="2025-09-14T00:00:00"/>
    <s v="CUST-0112"/>
    <x v="5"/>
    <x v="2"/>
    <x v="3"/>
    <n v="5"/>
    <n v="0.15"/>
    <x v="113"/>
    <n v="44.62"/>
  </r>
  <r>
    <s v="ORD-00846"/>
    <d v="2025-09-14T00:00:00"/>
    <s v="CUST-0204"/>
    <x v="3"/>
    <x v="2"/>
    <x v="2"/>
    <n v="3"/>
    <n v="0.1"/>
    <x v="4"/>
    <n v="286.02"/>
  </r>
  <r>
    <s v="ORD-00847"/>
    <d v="2025-09-14T00:00:00"/>
    <s v="CUST-0275"/>
    <x v="1"/>
    <x v="1"/>
    <x v="1"/>
    <n v="1"/>
    <n v="0.15"/>
    <x v="163"/>
    <n v="26.07"/>
  </r>
  <r>
    <s v="ORD-00848"/>
    <d v="2025-09-15T00:00:00"/>
    <s v="CUST-0043"/>
    <x v="6"/>
    <x v="2"/>
    <x v="3"/>
    <n v="4"/>
    <n v="0.05"/>
    <x v="20"/>
    <n v="198.32"/>
  </r>
  <r>
    <s v="ORD-00849"/>
    <d v="2025-09-15T00:00:00"/>
    <s v="CUST-0115"/>
    <x v="9"/>
    <x v="0"/>
    <x v="1"/>
    <n v="4"/>
    <n v="0.1"/>
    <x v="164"/>
    <n v="21.03"/>
  </r>
  <r>
    <s v="ORD-00850"/>
    <d v="2025-09-15T00:00:00"/>
    <s v="CUST-0211"/>
    <x v="0"/>
    <x v="0"/>
    <x v="2"/>
    <n v="3"/>
    <n v="0.05"/>
    <x v="187"/>
    <n v="28.99"/>
  </r>
  <r>
    <s v="ORD-00851"/>
    <d v="2025-09-16T00:00:00"/>
    <s v="CUST-0267"/>
    <x v="0"/>
    <x v="0"/>
    <x v="1"/>
    <n v="3"/>
    <n v="0.1"/>
    <x v="17"/>
    <n v="28.24"/>
  </r>
  <r>
    <s v="ORD-00852"/>
    <d v="2025-09-16T00:00:00"/>
    <s v="CUST-0275"/>
    <x v="7"/>
    <x v="3"/>
    <x v="2"/>
    <n v="3"/>
    <n v="0.2"/>
    <x v="105"/>
    <n v="1.81"/>
  </r>
  <r>
    <s v="ORD-00853"/>
    <d v="2025-09-16T00:00:00"/>
    <s v="CUST-0065"/>
    <x v="8"/>
    <x v="0"/>
    <x v="3"/>
    <n v="4"/>
    <n v="0.05"/>
    <x v="136"/>
    <n v="37.31"/>
  </r>
  <r>
    <s v="ORD-00854"/>
    <d v="2025-09-16T00:00:00"/>
    <s v="CUST-0263"/>
    <x v="9"/>
    <x v="0"/>
    <x v="3"/>
    <n v="3"/>
    <n v="0"/>
    <x v="106"/>
    <n v="18.11"/>
  </r>
  <r>
    <s v="ORD-00855"/>
    <d v="2025-09-17T00:00:00"/>
    <s v="CUST-0140"/>
    <x v="0"/>
    <x v="0"/>
    <x v="3"/>
    <n v="5"/>
    <n v="0.2"/>
    <x v="50"/>
    <n v="10.98"/>
  </r>
  <r>
    <s v="ORD-00856"/>
    <d v="2025-09-17T00:00:00"/>
    <s v="CUST-0208"/>
    <x v="4"/>
    <x v="2"/>
    <x v="0"/>
    <n v="5"/>
    <n v="0.1"/>
    <x v="147"/>
    <n v="333.81"/>
  </r>
  <r>
    <s v="ORD-00857"/>
    <d v="2025-09-17T00:00:00"/>
    <s v="CUST-0118"/>
    <x v="6"/>
    <x v="2"/>
    <x v="2"/>
    <n v="5"/>
    <n v="0.1"/>
    <x v="21"/>
    <n v="256.48"/>
  </r>
  <r>
    <s v="ORD-00858"/>
    <d v="2025-09-18T00:00:00"/>
    <s v="CUST-0215"/>
    <x v="3"/>
    <x v="2"/>
    <x v="0"/>
    <n v="2"/>
    <n v="0.05"/>
    <x v="179"/>
    <n v="185.97"/>
  </r>
  <r>
    <s v="ORD-00859"/>
    <d v="2025-09-18T00:00:00"/>
    <s v="CUST-0026"/>
    <x v="0"/>
    <x v="0"/>
    <x v="0"/>
    <n v="2"/>
    <n v="0.1"/>
    <x v="23"/>
    <n v="9.4700000000000006"/>
  </r>
  <r>
    <s v="ORD-00860"/>
    <d v="2025-09-18T00:00:00"/>
    <s v="CUST-0035"/>
    <x v="8"/>
    <x v="0"/>
    <x v="1"/>
    <n v="5"/>
    <n v="0.05"/>
    <x v="38"/>
    <n v="51.48"/>
  </r>
  <r>
    <s v="ORD-00861"/>
    <d v="2025-09-19T00:00:00"/>
    <s v="CUST-0093"/>
    <x v="3"/>
    <x v="2"/>
    <x v="0"/>
    <n v="3"/>
    <n v="0.05"/>
    <x v="60"/>
    <n v="505.16"/>
  </r>
  <r>
    <s v="ORD-00862"/>
    <d v="2025-09-19T00:00:00"/>
    <s v="CUST-0047"/>
    <x v="9"/>
    <x v="0"/>
    <x v="0"/>
    <n v="1"/>
    <n v="0.05"/>
    <x v="153"/>
    <n v="7.58"/>
  </r>
  <r>
    <s v="ORD-00863"/>
    <d v="2025-09-19T00:00:00"/>
    <s v="CUST-0217"/>
    <x v="8"/>
    <x v="0"/>
    <x v="1"/>
    <n v="4"/>
    <n v="0.05"/>
    <x v="136"/>
    <n v="43.01"/>
  </r>
  <r>
    <s v="ORD-00864"/>
    <d v="2025-09-19T00:00:00"/>
    <s v="CUST-0138"/>
    <x v="0"/>
    <x v="0"/>
    <x v="0"/>
    <n v="1"/>
    <n v="0.2"/>
    <x v="158"/>
    <n v="8.23"/>
  </r>
  <r>
    <s v="ORD-00865"/>
    <d v="2025-09-20T00:00:00"/>
    <s v="CUST-0161"/>
    <x v="0"/>
    <x v="0"/>
    <x v="0"/>
    <n v="5"/>
    <n v="0"/>
    <x v="61"/>
    <n v="56.75"/>
  </r>
  <r>
    <s v="ORD-00866"/>
    <d v="2025-09-20T00:00:00"/>
    <s v="CUST-0218"/>
    <x v="2"/>
    <x v="1"/>
    <x v="2"/>
    <n v="4"/>
    <n v="0"/>
    <x v="138"/>
    <n v="205.15"/>
  </r>
  <r>
    <s v="ORD-00867"/>
    <d v="2025-09-20T00:00:00"/>
    <s v="CUST-0253"/>
    <x v="3"/>
    <x v="2"/>
    <x v="2"/>
    <n v="2"/>
    <n v="0.15"/>
    <x v="84"/>
    <n v="148.97999999999999"/>
  </r>
  <r>
    <s v="ORD-00868"/>
    <d v="2025-09-21T00:00:00"/>
    <s v="CUST-0283"/>
    <x v="4"/>
    <x v="2"/>
    <x v="2"/>
    <n v="4"/>
    <n v="0.1"/>
    <x v="5"/>
    <n v="528.29"/>
  </r>
  <r>
    <s v="ORD-00869"/>
    <d v="2025-09-21T00:00:00"/>
    <s v="CUST-0047"/>
    <x v="6"/>
    <x v="2"/>
    <x v="3"/>
    <n v="2"/>
    <n v="0"/>
    <x v="123"/>
    <n v="98.04"/>
  </r>
  <r>
    <s v="ORD-00870"/>
    <d v="2025-09-21T00:00:00"/>
    <s v="CUST-0039"/>
    <x v="1"/>
    <x v="1"/>
    <x v="0"/>
    <n v="5"/>
    <n v="0"/>
    <x v="43"/>
    <n v="172.88"/>
  </r>
  <r>
    <s v="ORD-00871"/>
    <d v="2025-09-22T00:00:00"/>
    <s v="CUST-0292"/>
    <x v="1"/>
    <x v="1"/>
    <x v="1"/>
    <n v="3"/>
    <n v="0.15"/>
    <x v="183"/>
    <n v="25.29"/>
  </r>
  <r>
    <s v="ORD-00872"/>
    <d v="2025-09-22T00:00:00"/>
    <s v="CUST-0087"/>
    <x v="7"/>
    <x v="3"/>
    <x v="1"/>
    <n v="5"/>
    <n v="0"/>
    <x v="51"/>
    <n v="9.77"/>
  </r>
  <r>
    <s v="ORD-00873"/>
    <d v="2025-09-22T00:00:00"/>
    <s v="CUST-0101"/>
    <x v="8"/>
    <x v="0"/>
    <x v="1"/>
    <n v="4"/>
    <n v="0"/>
    <x v="25"/>
    <n v="53.8"/>
  </r>
  <r>
    <s v="ORD-00874"/>
    <d v="2025-09-23T00:00:00"/>
    <s v="CUST-0012"/>
    <x v="2"/>
    <x v="1"/>
    <x v="1"/>
    <n v="1"/>
    <n v="0.15"/>
    <x v="137"/>
    <n v="44.04"/>
  </r>
  <r>
    <s v="ORD-00875"/>
    <d v="2025-09-23T00:00:00"/>
    <s v="CUST-0029"/>
    <x v="0"/>
    <x v="0"/>
    <x v="0"/>
    <n v="1"/>
    <n v="0.15"/>
    <x v="186"/>
    <n v="12.51"/>
  </r>
  <r>
    <s v="ORD-00876"/>
    <d v="2025-09-23T00:00:00"/>
    <s v="CUST-0274"/>
    <x v="2"/>
    <x v="1"/>
    <x v="3"/>
    <n v="2"/>
    <n v="0.1"/>
    <x v="146"/>
    <n v="89.68"/>
  </r>
  <r>
    <s v="ORD-00877"/>
    <d v="2025-09-23T00:00:00"/>
    <s v="CUST-0186"/>
    <x v="0"/>
    <x v="0"/>
    <x v="0"/>
    <n v="3"/>
    <n v="0.05"/>
    <x v="187"/>
    <n v="29.63"/>
  </r>
  <r>
    <s v="ORD-00878"/>
    <d v="2025-09-24T00:00:00"/>
    <s v="CUST-0098"/>
    <x v="7"/>
    <x v="3"/>
    <x v="0"/>
    <n v="3"/>
    <n v="0.15"/>
    <x v="92"/>
    <n v="2.7"/>
  </r>
  <r>
    <s v="ORD-00879"/>
    <d v="2025-09-24T00:00:00"/>
    <s v="CUST-0025"/>
    <x v="9"/>
    <x v="0"/>
    <x v="3"/>
    <n v="2"/>
    <n v="0.15"/>
    <x v="85"/>
    <n v="6.22"/>
  </r>
  <r>
    <s v="ORD-00880"/>
    <d v="2025-09-24T00:00:00"/>
    <s v="CUST-0167"/>
    <x v="6"/>
    <x v="2"/>
    <x v="2"/>
    <n v="5"/>
    <n v="0.05"/>
    <x v="190"/>
    <n v="166.09"/>
  </r>
  <r>
    <s v="ORD-00881"/>
    <d v="2025-09-25T00:00:00"/>
    <s v="CUST-0215"/>
    <x v="4"/>
    <x v="2"/>
    <x v="0"/>
    <n v="1"/>
    <n v="0.1"/>
    <x v="34"/>
    <n v="121.52"/>
  </r>
  <r>
    <s v="ORD-00882"/>
    <d v="2025-09-25T00:00:00"/>
    <s v="CUST-0295"/>
    <x v="7"/>
    <x v="3"/>
    <x v="1"/>
    <n v="5"/>
    <n v="0.1"/>
    <x v="93"/>
    <n v="9.39"/>
  </r>
  <r>
    <s v="ORD-00883"/>
    <d v="2025-09-25T00:00:00"/>
    <s v="CUST-0266"/>
    <x v="0"/>
    <x v="0"/>
    <x v="2"/>
    <n v="5"/>
    <n v="0"/>
    <x v="61"/>
    <n v="96.64"/>
  </r>
  <r>
    <s v="ORD-00884"/>
    <d v="2025-09-26T00:00:00"/>
    <s v="CUST-0147"/>
    <x v="4"/>
    <x v="2"/>
    <x v="3"/>
    <n v="4"/>
    <n v="0.05"/>
    <x v="144"/>
    <n v="455.32"/>
  </r>
  <r>
    <s v="ORD-00885"/>
    <d v="2025-09-26T00:00:00"/>
    <s v="CUST-0085"/>
    <x v="9"/>
    <x v="0"/>
    <x v="3"/>
    <n v="2"/>
    <n v="0"/>
    <x v="167"/>
    <n v="16.73"/>
  </r>
  <r>
    <s v="ORD-00886"/>
    <d v="2025-09-26T00:00:00"/>
    <s v="CUST-0015"/>
    <x v="9"/>
    <x v="0"/>
    <x v="3"/>
    <n v="5"/>
    <n v="0.2"/>
    <x v="72"/>
    <n v="20.94"/>
  </r>
  <r>
    <s v="ORD-00887"/>
    <d v="2025-09-26T00:00:00"/>
    <s v="CUST-0001"/>
    <x v="8"/>
    <x v="0"/>
    <x v="1"/>
    <n v="2"/>
    <n v="0"/>
    <x v="106"/>
    <n v="24.46"/>
  </r>
  <r>
    <s v="ORD-00888"/>
    <d v="2025-09-27T00:00:00"/>
    <s v="CUST-0188"/>
    <x v="9"/>
    <x v="0"/>
    <x v="1"/>
    <n v="1"/>
    <n v="0"/>
    <x v="90"/>
    <n v="10.38"/>
  </r>
  <r>
    <s v="ORD-00889"/>
    <d v="2025-09-27T00:00:00"/>
    <s v="CUST-0025"/>
    <x v="6"/>
    <x v="2"/>
    <x v="1"/>
    <n v="4"/>
    <n v="0.05"/>
    <x v="20"/>
    <n v="126.81"/>
  </r>
  <r>
    <s v="ORD-00890"/>
    <d v="2025-09-27T00:00:00"/>
    <s v="CUST-0179"/>
    <x v="5"/>
    <x v="2"/>
    <x v="2"/>
    <n v="3"/>
    <n v="0"/>
    <x v="76"/>
    <n v="59.02"/>
  </r>
  <r>
    <s v="ORD-00891"/>
    <d v="2025-09-28T00:00:00"/>
    <s v="CUST-0249"/>
    <x v="6"/>
    <x v="2"/>
    <x v="1"/>
    <n v="4"/>
    <n v="0.1"/>
    <x v="166"/>
    <n v="264.52999999999997"/>
  </r>
  <r>
    <s v="ORD-00892"/>
    <d v="2025-09-28T00:00:00"/>
    <s v="CUST-0094"/>
    <x v="4"/>
    <x v="2"/>
    <x v="0"/>
    <n v="2"/>
    <n v="0.1"/>
    <x v="43"/>
    <n v="134.27000000000001"/>
  </r>
  <r>
    <s v="ORD-00893"/>
    <d v="2025-09-28T00:00:00"/>
    <s v="CUST-0066"/>
    <x v="2"/>
    <x v="1"/>
    <x v="1"/>
    <n v="1"/>
    <n v="0"/>
    <x v="50"/>
    <n v="56.43"/>
  </r>
  <r>
    <s v="ORD-00894"/>
    <d v="2025-09-29T00:00:00"/>
    <s v="CUST-0114"/>
    <x v="0"/>
    <x v="0"/>
    <x v="3"/>
    <n v="5"/>
    <n v="0.05"/>
    <x v="46"/>
    <n v="40.020000000000003"/>
  </r>
  <r>
    <s v="ORD-00895"/>
    <d v="2025-09-29T00:00:00"/>
    <s v="CUST-0026"/>
    <x v="6"/>
    <x v="2"/>
    <x v="1"/>
    <n v="3"/>
    <n v="0.15"/>
    <x v="68"/>
    <n v="118.81"/>
  </r>
  <r>
    <s v="ORD-00896"/>
    <d v="2025-09-29T00:00:00"/>
    <s v="CUST-0051"/>
    <x v="8"/>
    <x v="0"/>
    <x v="3"/>
    <n v="5"/>
    <n v="0"/>
    <x v="89"/>
    <n v="67.53"/>
  </r>
  <r>
    <s v="ORD-00897"/>
    <d v="2025-09-30T00:00:00"/>
    <s v="CUST-0187"/>
    <x v="0"/>
    <x v="0"/>
    <x v="0"/>
    <n v="3"/>
    <n v="0.05"/>
    <x v="187"/>
    <n v="30.33"/>
  </r>
  <r>
    <s v="ORD-00898"/>
    <d v="2025-09-30T00:00:00"/>
    <s v="CUST-0177"/>
    <x v="4"/>
    <x v="2"/>
    <x v="0"/>
    <n v="4"/>
    <n v="0.15"/>
    <x v="42"/>
    <n v="113.43"/>
  </r>
  <r>
    <s v="ORD-00899"/>
    <d v="2025-09-30T00:00:00"/>
    <s v="CUST-0080"/>
    <x v="7"/>
    <x v="3"/>
    <x v="1"/>
    <n v="3"/>
    <n v="0"/>
    <x v="30"/>
    <n v="7.12"/>
  </r>
  <r>
    <s v="ORD-00900"/>
    <d v="2025-09-30T00:00:00"/>
    <s v="CUST-0173"/>
    <x v="0"/>
    <x v="0"/>
    <x v="1"/>
    <n v="4"/>
    <n v="0.2"/>
    <x v="0"/>
    <n v="33.65"/>
  </r>
  <r>
    <s v="ORD-00901"/>
    <d v="2025-10-01T00:00:00"/>
    <s v="CUST-0282"/>
    <x v="9"/>
    <x v="0"/>
    <x v="2"/>
    <n v="4"/>
    <n v="0.1"/>
    <x v="164"/>
    <n v="19.88"/>
  </r>
  <r>
    <s v="ORD-00902"/>
    <d v="2025-10-01T00:00:00"/>
    <s v="CUST-0115"/>
    <x v="2"/>
    <x v="1"/>
    <x v="2"/>
    <n v="1"/>
    <n v="0.05"/>
    <x v="3"/>
    <n v="57.01"/>
  </r>
  <r>
    <s v="ORD-00903"/>
    <d v="2025-10-01T00:00:00"/>
    <s v="CUST-0077"/>
    <x v="0"/>
    <x v="0"/>
    <x v="3"/>
    <n v="3"/>
    <n v="0.1"/>
    <x v="17"/>
    <n v="26.76"/>
  </r>
  <r>
    <s v="ORD-00904"/>
    <d v="2025-10-02T00:00:00"/>
    <s v="CUST-0088"/>
    <x v="5"/>
    <x v="2"/>
    <x v="3"/>
    <n v="1"/>
    <n v="0.1"/>
    <x v="88"/>
    <n v="19.22"/>
  </r>
  <r>
    <s v="ORD-00905"/>
    <d v="2025-10-02T00:00:00"/>
    <s v="CUST-0134"/>
    <x v="9"/>
    <x v="0"/>
    <x v="3"/>
    <n v="3"/>
    <n v="0.05"/>
    <x v="75"/>
    <n v="15.66"/>
  </r>
  <r>
    <s v="ORD-00906"/>
    <d v="2025-10-02T00:00:00"/>
    <s v="CUST-0090"/>
    <x v="6"/>
    <x v="2"/>
    <x v="2"/>
    <n v="5"/>
    <n v="0.1"/>
    <x v="21"/>
    <n v="144.9"/>
  </r>
  <r>
    <s v="ORD-00907"/>
    <d v="2025-10-03T00:00:00"/>
    <s v="CUST-0028"/>
    <x v="3"/>
    <x v="2"/>
    <x v="0"/>
    <n v="4"/>
    <n v="0.05"/>
    <x v="12"/>
    <n v="640.07000000000005"/>
  </r>
  <r>
    <s v="ORD-00908"/>
    <d v="2025-10-03T00:00:00"/>
    <s v="CUST-0249"/>
    <x v="5"/>
    <x v="2"/>
    <x v="0"/>
    <n v="1"/>
    <n v="0.05"/>
    <x v="102"/>
    <n v="19.75"/>
  </r>
  <r>
    <s v="ORD-00909"/>
    <d v="2025-10-03T00:00:00"/>
    <s v="CUST-0259"/>
    <x v="8"/>
    <x v="0"/>
    <x v="3"/>
    <n v="5"/>
    <n v="0.05"/>
    <x v="38"/>
    <n v="69.540000000000006"/>
  </r>
  <r>
    <s v="ORD-00910"/>
    <d v="2025-10-03T00:00:00"/>
    <s v="CUST-0241"/>
    <x v="2"/>
    <x v="1"/>
    <x v="2"/>
    <n v="3"/>
    <n v="0"/>
    <x v="149"/>
    <n v="246.72"/>
  </r>
  <r>
    <s v="ORD-00911"/>
    <d v="2025-10-04T00:00:00"/>
    <s v="CUST-0153"/>
    <x v="9"/>
    <x v="0"/>
    <x v="0"/>
    <n v="5"/>
    <n v="0.05"/>
    <x v="104"/>
    <n v="30.24"/>
  </r>
  <r>
    <s v="ORD-00912"/>
    <d v="2025-10-04T00:00:00"/>
    <s v="CUST-0226"/>
    <x v="3"/>
    <x v="2"/>
    <x v="0"/>
    <n v="4"/>
    <n v="0"/>
    <x v="53"/>
    <n v="682.19"/>
  </r>
  <r>
    <s v="ORD-00913"/>
    <d v="2025-10-04T00:00:00"/>
    <s v="CUST-0129"/>
    <x v="4"/>
    <x v="2"/>
    <x v="1"/>
    <n v="3"/>
    <n v="0.1"/>
    <x v="100"/>
    <n v="331.28"/>
  </r>
  <r>
    <s v="ORD-00914"/>
    <d v="2025-10-05T00:00:00"/>
    <s v="CUST-0034"/>
    <x v="4"/>
    <x v="2"/>
    <x v="0"/>
    <n v="1"/>
    <n v="0.05"/>
    <x v="18"/>
    <n v="145.13999999999999"/>
  </r>
  <r>
    <s v="ORD-00915"/>
    <d v="2025-10-05T00:00:00"/>
    <s v="CUST-0048"/>
    <x v="8"/>
    <x v="0"/>
    <x v="3"/>
    <n v="5"/>
    <n v="0.05"/>
    <x v="38"/>
    <n v="46.56"/>
  </r>
  <r>
    <s v="ORD-00916"/>
    <d v="2025-10-05T00:00:00"/>
    <s v="CUST-0274"/>
    <x v="0"/>
    <x v="0"/>
    <x v="2"/>
    <n v="2"/>
    <n v="0.15"/>
    <x v="185"/>
    <n v="9.57"/>
  </r>
  <r>
    <s v="ORD-00917"/>
    <d v="2025-10-06T00:00:00"/>
    <s v="CUST-0004"/>
    <x v="9"/>
    <x v="0"/>
    <x v="3"/>
    <n v="4"/>
    <n v="0.05"/>
    <x v="83"/>
    <n v="25.08"/>
  </r>
  <r>
    <s v="ORD-00918"/>
    <d v="2025-10-06T00:00:00"/>
    <s v="CUST-0209"/>
    <x v="9"/>
    <x v="0"/>
    <x v="2"/>
    <n v="1"/>
    <n v="0.05"/>
    <x v="153"/>
    <n v="8.14"/>
  </r>
  <r>
    <s v="ORD-00919"/>
    <d v="2025-10-06T00:00:00"/>
    <s v="CUST-0276"/>
    <x v="4"/>
    <x v="2"/>
    <x v="3"/>
    <n v="1"/>
    <n v="0.15"/>
    <x v="193"/>
    <n v="69.150000000000006"/>
  </r>
  <r>
    <s v="ORD-00920"/>
    <d v="2025-10-06T00:00:00"/>
    <s v="CUST-0109"/>
    <x v="5"/>
    <x v="2"/>
    <x v="1"/>
    <n v="2"/>
    <n v="0.15"/>
    <x v="150"/>
    <n v="36.19"/>
  </r>
  <r>
    <s v="ORD-00921"/>
    <d v="2025-10-07T00:00:00"/>
    <s v="CUST-0009"/>
    <x v="6"/>
    <x v="2"/>
    <x v="1"/>
    <n v="3"/>
    <n v="0"/>
    <x v="9"/>
    <n v="240.32"/>
  </r>
  <r>
    <s v="ORD-00922"/>
    <d v="2025-10-07T00:00:00"/>
    <s v="CUST-0164"/>
    <x v="2"/>
    <x v="1"/>
    <x v="2"/>
    <n v="3"/>
    <n v="0"/>
    <x v="149"/>
    <n v="232.57"/>
  </r>
  <r>
    <s v="ORD-00923"/>
    <d v="2025-10-07T00:00:00"/>
    <s v="CUST-0199"/>
    <x v="2"/>
    <x v="1"/>
    <x v="1"/>
    <n v="2"/>
    <n v="0.2"/>
    <x v="160"/>
    <n v="75.650000000000006"/>
  </r>
  <r>
    <s v="ORD-00924"/>
    <d v="2025-10-08T00:00:00"/>
    <s v="CUST-0151"/>
    <x v="8"/>
    <x v="0"/>
    <x v="0"/>
    <n v="4"/>
    <n v="0"/>
    <x v="25"/>
    <n v="33.24"/>
  </r>
  <r>
    <s v="ORD-00925"/>
    <d v="2025-10-08T00:00:00"/>
    <s v="CUST-0287"/>
    <x v="7"/>
    <x v="3"/>
    <x v="1"/>
    <n v="3"/>
    <n v="0.15"/>
    <x v="92"/>
    <n v="4.79"/>
  </r>
  <r>
    <s v="ORD-00926"/>
    <d v="2025-10-08T00:00:00"/>
    <s v="CUST-0153"/>
    <x v="1"/>
    <x v="1"/>
    <x v="0"/>
    <n v="4"/>
    <n v="0"/>
    <x v="9"/>
    <n v="247.33"/>
  </r>
  <r>
    <s v="ORD-00927"/>
    <d v="2025-10-09T00:00:00"/>
    <s v="CUST-0186"/>
    <x v="7"/>
    <x v="3"/>
    <x v="3"/>
    <n v="4"/>
    <n v="0"/>
    <x v="103"/>
    <n v="8.93"/>
  </r>
  <r>
    <s v="ORD-00928"/>
    <d v="2025-10-09T00:00:00"/>
    <s v="CUST-0214"/>
    <x v="5"/>
    <x v="2"/>
    <x v="3"/>
    <n v="3"/>
    <n v="0.1"/>
    <x v="56"/>
    <n v="31.43"/>
  </r>
  <r>
    <s v="ORD-00929"/>
    <d v="2025-10-09T00:00:00"/>
    <s v="CUST-0035"/>
    <x v="4"/>
    <x v="2"/>
    <x v="3"/>
    <n v="1"/>
    <n v="0.05"/>
    <x v="18"/>
    <n v="89.87"/>
  </r>
  <r>
    <s v="ORD-00930"/>
    <d v="2025-10-10T00:00:00"/>
    <s v="CUST-0144"/>
    <x v="3"/>
    <x v="2"/>
    <x v="3"/>
    <n v="3"/>
    <n v="0.2"/>
    <x v="194"/>
    <n v="204.1"/>
  </r>
  <r>
    <s v="ORD-00931"/>
    <d v="2025-10-10T00:00:00"/>
    <s v="CUST-0083"/>
    <x v="8"/>
    <x v="0"/>
    <x v="1"/>
    <n v="3"/>
    <n v="0"/>
    <x v="26"/>
    <n v="42.74"/>
  </r>
  <r>
    <s v="ORD-00932"/>
    <d v="2025-10-10T00:00:00"/>
    <s v="CUST-0034"/>
    <x v="3"/>
    <x v="2"/>
    <x v="2"/>
    <n v="5"/>
    <n v="0.15"/>
    <x v="74"/>
    <n v="190.3"/>
  </r>
  <r>
    <s v="ORD-00933"/>
    <d v="2025-10-10T00:00:00"/>
    <s v="CUST-0174"/>
    <x v="6"/>
    <x v="2"/>
    <x v="2"/>
    <n v="2"/>
    <n v="0.2"/>
    <x v="155"/>
    <n v="20.88"/>
  </r>
  <r>
    <s v="ORD-00934"/>
    <d v="2025-10-11T00:00:00"/>
    <s v="CUST-0075"/>
    <x v="7"/>
    <x v="3"/>
    <x v="1"/>
    <n v="3"/>
    <n v="0.05"/>
    <x v="135"/>
    <n v="7.61"/>
  </r>
  <r>
    <s v="ORD-00935"/>
    <d v="2025-10-11T00:00:00"/>
    <s v="CUST-0222"/>
    <x v="4"/>
    <x v="2"/>
    <x v="3"/>
    <n v="2"/>
    <n v="0"/>
    <x v="117"/>
    <n v="243.47"/>
  </r>
  <r>
    <s v="ORD-00936"/>
    <d v="2025-10-11T00:00:00"/>
    <s v="CUST-0059"/>
    <x v="9"/>
    <x v="0"/>
    <x v="3"/>
    <n v="3"/>
    <n v="0.2"/>
    <x v="88"/>
    <n v="10.57"/>
  </r>
  <r>
    <s v="ORD-00937"/>
    <d v="2025-10-12T00:00:00"/>
    <s v="CUST-0196"/>
    <x v="6"/>
    <x v="2"/>
    <x v="3"/>
    <n v="5"/>
    <n v="0.1"/>
    <x v="21"/>
    <n v="157.93"/>
  </r>
  <r>
    <s v="ORD-00938"/>
    <d v="2025-10-12T00:00:00"/>
    <s v="CUST-0219"/>
    <x v="4"/>
    <x v="2"/>
    <x v="2"/>
    <n v="5"/>
    <n v="0"/>
    <x v="35"/>
    <n v="591.27"/>
  </r>
  <r>
    <s v="ORD-00939"/>
    <d v="2025-10-12T00:00:00"/>
    <s v="CUST-0298"/>
    <x v="8"/>
    <x v="0"/>
    <x v="0"/>
    <n v="4"/>
    <n v="0"/>
    <x v="25"/>
    <n v="38.86"/>
  </r>
  <r>
    <s v="ORD-00940"/>
    <d v="2025-10-13T00:00:00"/>
    <s v="CUST-0187"/>
    <x v="3"/>
    <x v="2"/>
    <x v="3"/>
    <n v="2"/>
    <n v="0.05"/>
    <x v="179"/>
    <n v="278.76"/>
  </r>
  <r>
    <s v="ORD-00941"/>
    <d v="2025-10-13T00:00:00"/>
    <s v="CUST-0003"/>
    <x v="3"/>
    <x v="2"/>
    <x v="2"/>
    <n v="3"/>
    <n v="0.15"/>
    <x v="91"/>
    <n v="65.819999999999993"/>
  </r>
  <r>
    <s v="ORD-00942"/>
    <d v="2025-10-13T00:00:00"/>
    <s v="CUST-0095"/>
    <x v="4"/>
    <x v="2"/>
    <x v="0"/>
    <n v="4"/>
    <n v="0.05"/>
    <x v="144"/>
    <n v="377.75"/>
  </r>
  <r>
    <s v="ORD-00943"/>
    <d v="2025-10-13T00:00:00"/>
    <s v="CUST-0206"/>
    <x v="9"/>
    <x v="0"/>
    <x v="1"/>
    <n v="4"/>
    <n v="0"/>
    <x v="72"/>
    <n v="35.81"/>
  </r>
  <r>
    <s v="ORD-00944"/>
    <d v="2025-10-14T00:00:00"/>
    <s v="CUST-0264"/>
    <x v="8"/>
    <x v="0"/>
    <x v="3"/>
    <n v="3"/>
    <n v="0.1"/>
    <x v="126"/>
    <n v="20.75"/>
  </r>
  <r>
    <s v="ORD-00945"/>
    <d v="2025-10-14T00:00:00"/>
    <s v="CUST-0189"/>
    <x v="4"/>
    <x v="2"/>
    <x v="2"/>
    <n v="5"/>
    <n v="0.05"/>
    <x v="6"/>
    <n v="437.25"/>
  </r>
  <r>
    <s v="ORD-00946"/>
    <d v="2025-10-14T00:00:00"/>
    <s v="CUST-0079"/>
    <x v="1"/>
    <x v="1"/>
    <x v="2"/>
    <n v="1"/>
    <n v="0"/>
    <x v="25"/>
    <n v="66.38"/>
  </r>
  <r>
    <s v="ORD-00947"/>
    <d v="2025-10-15T00:00:00"/>
    <s v="CUST-0192"/>
    <x v="6"/>
    <x v="2"/>
    <x v="0"/>
    <n v="5"/>
    <n v="0.1"/>
    <x v="21"/>
    <n v="230.24"/>
  </r>
  <r>
    <s v="ORD-00948"/>
    <d v="2025-10-15T00:00:00"/>
    <s v="CUST-0089"/>
    <x v="6"/>
    <x v="2"/>
    <x v="2"/>
    <n v="3"/>
    <n v="0"/>
    <x v="9"/>
    <n v="263.04000000000002"/>
  </r>
  <r>
    <s v="ORD-00949"/>
    <d v="2025-10-15T00:00:00"/>
    <s v="CUST-0272"/>
    <x v="1"/>
    <x v="1"/>
    <x v="1"/>
    <n v="5"/>
    <n v="0.05"/>
    <x v="143"/>
    <n v="149.83000000000001"/>
  </r>
  <r>
    <s v="ORD-00950"/>
    <d v="2025-10-16T00:00:00"/>
    <s v="CUST-0130"/>
    <x v="7"/>
    <x v="3"/>
    <x v="2"/>
    <n v="1"/>
    <n v="0"/>
    <x v="120"/>
    <n v="2.6"/>
  </r>
  <r>
    <s v="ORD-00951"/>
    <d v="2025-10-16T00:00:00"/>
    <s v="CUST-0069"/>
    <x v="2"/>
    <x v="1"/>
    <x v="2"/>
    <n v="2"/>
    <n v="0.1"/>
    <x v="146"/>
    <n v="95.78"/>
  </r>
  <r>
    <s v="ORD-00952"/>
    <d v="2025-10-16T00:00:00"/>
    <s v="CUST-0185"/>
    <x v="4"/>
    <x v="2"/>
    <x v="1"/>
    <n v="1"/>
    <n v="0.1"/>
    <x v="34"/>
    <n v="92.13"/>
  </r>
  <r>
    <s v="ORD-00953"/>
    <d v="2025-10-17T00:00:00"/>
    <s v="CUST-0278"/>
    <x v="6"/>
    <x v="2"/>
    <x v="1"/>
    <n v="3"/>
    <n v="0.2"/>
    <x v="125"/>
    <n v="8.08"/>
  </r>
  <r>
    <s v="ORD-00954"/>
    <d v="2025-10-17T00:00:00"/>
    <s v="CUST-0018"/>
    <x v="0"/>
    <x v="0"/>
    <x v="3"/>
    <n v="5"/>
    <n v="0"/>
    <x v="61"/>
    <n v="100.78"/>
  </r>
  <r>
    <s v="ORD-00955"/>
    <d v="2025-10-17T00:00:00"/>
    <s v="CUST-0125"/>
    <x v="3"/>
    <x v="2"/>
    <x v="1"/>
    <n v="1"/>
    <n v="0.1"/>
    <x v="94"/>
    <n v="142"/>
  </r>
  <r>
    <s v="ORD-00956"/>
    <d v="2025-10-17T00:00:00"/>
    <s v="CUST-0188"/>
    <x v="3"/>
    <x v="2"/>
    <x v="1"/>
    <n v="4"/>
    <n v="0"/>
    <x v="53"/>
    <n v="598.32000000000005"/>
  </r>
  <r>
    <s v="ORD-00957"/>
    <d v="2025-10-18T00:00:00"/>
    <s v="CUST-0013"/>
    <x v="5"/>
    <x v="2"/>
    <x v="2"/>
    <n v="2"/>
    <n v="0"/>
    <x v="111"/>
    <n v="59.55"/>
  </r>
  <r>
    <s v="ORD-00958"/>
    <d v="2025-10-18T00:00:00"/>
    <s v="CUST-0189"/>
    <x v="5"/>
    <x v="2"/>
    <x v="1"/>
    <n v="5"/>
    <n v="0.1"/>
    <x v="10"/>
    <n v="57.08"/>
  </r>
  <r>
    <s v="ORD-00959"/>
    <d v="2025-10-18T00:00:00"/>
    <s v="CUST-0250"/>
    <x v="3"/>
    <x v="2"/>
    <x v="1"/>
    <n v="2"/>
    <n v="0.15"/>
    <x v="84"/>
    <n v="296.42"/>
  </r>
  <r>
    <s v="ORD-00960"/>
    <d v="2025-10-19T00:00:00"/>
    <s v="CUST-0106"/>
    <x v="7"/>
    <x v="3"/>
    <x v="3"/>
    <n v="4"/>
    <n v="0.2"/>
    <x v="69"/>
    <n v="2.67"/>
  </r>
  <r>
    <s v="ORD-00961"/>
    <d v="2025-10-19T00:00:00"/>
    <s v="CUST-0052"/>
    <x v="9"/>
    <x v="0"/>
    <x v="1"/>
    <n v="2"/>
    <n v="0.1"/>
    <x v="44"/>
    <n v="4.8899999999999997"/>
  </r>
  <r>
    <s v="ORD-00962"/>
    <d v="2025-10-19T00:00:00"/>
    <s v="CUST-0298"/>
    <x v="2"/>
    <x v="1"/>
    <x v="3"/>
    <n v="2"/>
    <n v="0.05"/>
    <x v="124"/>
    <n v="144.59"/>
  </r>
  <r>
    <s v="ORD-00963"/>
    <d v="2025-10-20T00:00:00"/>
    <s v="CUST-0065"/>
    <x v="9"/>
    <x v="0"/>
    <x v="1"/>
    <n v="3"/>
    <n v="0"/>
    <x v="106"/>
    <n v="17.93"/>
  </r>
  <r>
    <s v="ORD-00964"/>
    <d v="2025-10-20T00:00:00"/>
    <s v="CUST-0083"/>
    <x v="3"/>
    <x v="2"/>
    <x v="1"/>
    <n v="1"/>
    <n v="0"/>
    <x v="176"/>
    <n v="238.14"/>
  </r>
  <r>
    <s v="ORD-00965"/>
    <d v="2025-10-20T00:00:00"/>
    <s v="CUST-0022"/>
    <x v="6"/>
    <x v="2"/>
    <x v="3"/>
    <n v="4"/>
    <n v="0.05"/>
    <x v="20"/>
    <n v="244.44"/>
  </r>
  <r>
    <s v="ORD-00966"/>
    <d v="2025-10-20T00:00:00"/>
    <s v="CUST-0031"/>
    <x v="1"/>
    <x v="1"/>
    <x v="1"/>
    <n v="5"/>
    <n v="0.1"/>
    <x v="152"/>
    <n v="155.33000000000001"/>
  </r>
  <r>
    <s v="ORD-00967"/>
    <d v="2025-10-21T00:00:00"/>
    <s v="CUST-0207"/>
    <x v="5"/>
    <x v="2"/>
    <x v="1"/>
    <n v="2"/>
    <n v="0.05"/>
    <x v="7"/>
    <n v="42.55"/>
  </r>
  <r>
    <s v="ORD-00968"/>
    <d v="2025-10-21T00:00:00"/>
    <s v="CUST-0291"/>
    <x v="9"/>
    <x v="0"/>
    <x v="1"/>
    <n v="3"/>
    <n v="0.1"/>
    <x v="86"/>
    <n v="22.97"/>
  </r>
  <r>
    <s v="ORD-00969"/>
    <d v="2025-10-21T00:00:00"/>
    <s v="CUST-0179"/>
    <x v="3"/>
    <x v="2"/>
    <x v="0"/>
    <n v="4"/>
    <n v="0.15"/>
    <x v="121"/>
    <n v="536.29999999999995"/>
  </r>
  <r>
    <s v="ORD-00970"/>
    <d v="2025-10-22T00:00:00"/>
    <s v="CUST-0054"/>
    <x v="2"/>
    <x v="1"/>
    <x v="2"/>
    <n v="5"/>
    <n v="0"/>
    <x v="55"/>
    <n v="321.18"/>
  </r>
  <r>
    <s v="ORD-00971"/>
    <d v="2025-10-22T00:00:00"/>
    <s v="CUST-0171"/>
    <x v="7"/>
    <x v="3"/>
    <x v="0"/>
    <n v="4"/>
    <n v="0.15"/>
    <x v="98"/>
    <n v="1.38"/>
  </r>
  <r>
    <s v="ORD-00972"/>
    <d v="2025-10-22T00:00:00"/>
    <s v="CUST-0108"/>
    <x v="6"/>
    <x v="2"/>
    <x v="3"/>
    <n v="3"/>
    <n v="0.15"/>
    <x v="68"/>
    <n v="136.91"/>
  </r>
  <r>
    <s v="ORD-00973"/>
    <d v="2025-10-23T00:00:00"/>
    <s v="CUST-0096"/>
    <x v="5"/>
    <x v="2"/>
    <x v="3"/>
    <n v="5"/>
    <n v="0.05"/>
    <x v="108"/>
    <n v="88.44"/>
  </r>
  <r>
    <s v="ORD-00974"/>
    <d v="2025-10-23T00:00:00"/>
    <s v="CUST-0140"/>
    <x v="5"/>
    <x v="2"/>
    <x v="1"/>
    <n v="2"/>
    <n v="0"/>
    <x v="111"/>
    <n v="46.49"/>
  </r>
  <r>
    <s v="ORD-00975"/>
    <d v="2025-10-23T00:00:00"/>
    <s v="CUST-0058"/>
    <x v="8"/>
    <x v="0"/>
    <x v="1"/>
    <n v="1"/>
    <n v="0.1"/>
    <x v="52"/>
    <n v="11.2"/>
  </r>
  <r>
    <s v="ORD-00976"/>
    <d v="2025-10-23T00:00:00"/>
    <s v="CUST-0023"/>
    <x v="4"/>
    <x v="2"/>
    <x v="1"/>
    <n v="2"/>
    <n v="0"/>
    <x v="117"/>
    <n v="342.81"/>
  </r>
  <r>
    <s v="ORD-00977"/>
    <d v="2025-10-24T00:00:00"/>
    <s v="CUST-0036"/>
    <x v="0"/>
    <x v="0"/>
    <x v="0"/>
    <n v="4"/>
    <n v="0.2"/>
    <x v="0"/>
    <n v="7.27"/>
  </r>
  <r>
    <s v="ORD-00978"/>
    <d v="2025-10-24T00:00:00"/>
    <s v="CUST-0055"/>
    <x v="0"/>
    <x v="0"/>
    <x v="1"/>
    <n v="3"/>
    <n v="0.2"/>
    <x v="116"/>
    <n v="25.04"/>
  </r>
  <r>
    <s v="ORD-00979"/>
    <d v="2025-10-24T00:00:00"/>
    <s v="CUST-0034"/>
    <x v="3"/>
    <x v="2"/>
    <x v="0"/>
    <n v="5"/>
    <n v="0.05"/>
    <x v="54"/>
    <n v="664.52"/>
  </r>
  <r>
    <s v="ORD-00980"/>
    <d v="2025-10-25T00:00:00"/>
    <s v="CUST-0032"/>
    <x v="6"/>
    <x v="2"/>
    <x v="3"/>
    <n v="1"/>
    <n v="0.2"/>
    <x v="145"/>
    <n v="0.6"/>
  </r>
  <r>
    <s v="ORD-00981"/>
    <d v="2025-10-25T00:00:00"/>
    <s v="CUST-0270"/>
    <x v="5"/>
    <x v="2"/>
    <x v="2"/>
    <n v="3"/>
    <n v="0"/>
    <x v="76"/>
    <n v="75.13"/>
  </r>
  <r>
    <s v="ORD-00982"/>
    <d v="2025-10-25T00:00:00"/>
    <s v="CUST-0228"/>
    <x v="8"/>
    <x v="0"/>
    <x v="0"/>
    <n v="2"/>
    <n v="0"/>
    <x v="106"/>
    <n v="23.46"/>
  </r>
  <r>
    <s v="ORD-00983"/>
    <d v="2025-10-26T00:00:00"/>
    <s v="CUST-0170"/>
    <x v="3"/>
    <x v="2"/>
    <x v="3"/>
    <n v="1"/>
    <n v="0"/>
    <x v="176"/>
    <n v="216.13"/>
  </r>
  <r>
    <s v="ORD-00984"/>
    <d v="2025-10-26T00:00:00"/>
    <s v="CUST-0284"/>
    <x v="9"/>
    <x v="0"/>
    <x v="0"/>
    <n v="1"/>
    <n v="0.1"/>
    <x v="29"/>
    <n v="3.84"/>
  </r>
  <r>
    <s v="ORD-00985"/>
    <d v="2025-10-26T00:00:00"/>
    <s v="CUST-0199"/>
    <x v="5"/>
    <x v="2"/>
    <x v="0"/>
    <n v="2"/>
    <n v="0"/>
    <x v="111"/>
    <n v="57.28"/>
  </r>
  <r>
    <s v="ORD-00986"/>
    <d v="2025-10-27T00:00:00"/>
    <s v="CUST-0203"/>
    <x v="6"/>
    <x v="2"/>
    <x v="1"/>
    <n v="4"/>
    <n v="0"/>
    <x v="59"/>
    <n v="232.31"/>
  </r>
  <r>
    <s v="ORD-00987"/>
    <d v="2025-10-27T00:00:00"/>
    <s v="CUST-0041"/>
    <x v="6"/>
    <x v="2"/>
    <x v="0"/>
    <n v="5"/>
    <n v="0.05"/>
    <x v="190"/>
    <n v="375.1"/>
  </r>
  <r>
    <s v="ORD-00988"/>
    <d v="2025-10-27T00:00:00"/>
    <s v="CUST-0130"/>
    <x v="9"/>
    <x v="0"/>
    <x v="2"/>
    <n v="1"/>
    <n v="0"/>
    <x v="90"/>
    <n v="5.94"/>
  </r>
  <r>
    <s v="ORD-00989"/>
    <d v="2025-10-27T00:00:00"/>
    <s v="CUST-0273"/>
    <x v="6"/>
    <x v="2"/>
    <x v="0"/>
    <n v="4"/>
    <n v="0"/>
    <x v="59"/>
    <n v="305.73"/>
  </r>
  <r>
    <s v="ORD-00990"/>
    <d v="2025-10-28T00:00:00"/>
    <s v="CUST-0183"/>
    <x v="5"/>
    <x v="2"/>
    <x v="0"/>
    <n v="2"/>
    <n v="0.1"/>
    <x v="81"/>
    <n v="27.31"/>
  </r>
  <r>
    <s v="ORD-00991"/>
    <d v="2025-10-28T00:00:00"/>
    <s v="CUST-0212"/>
    <x v="9"/>
    <x v="0"/>
    <x v="0"/>
    <n v="2"/>
    <n v="0.1"/>
    <x v="44"/>
    <n v="14.45"/>
  </r>
  <r>
    <s v="ORD-00992"/>
    <d v="2025-10-28T00:00:00"/>
    <s v="CUST-0223"/>
    <x v="5"/>
    <x v="2"/>
    <x v="2"/>
    <n v="1"/>
    <n v="0.05"/>
    <x v="102"/>
    <n v="14.24"/>
  </r>
  <r>
    <s v="ORD-00993"/>
    <d v="2025-10-29T00:00:00"/>
    <s v="CUST-0107"/>
    <x v="5"/>
    <x v="2"/>
    <x v="2"/>
    <n v="3"/>
    <n v="0.1"/>
    <x v="56"/>
    <n v="38.520000000000003"/>
  </r>
  <r>
    <s v="ORD-00994"/>
    <d v="2025-10-29T00:00:00"/>
    <s v="CUST-0247"/>
    <x v="6"/>
    <x v="2"/>
    <x v="3"/>
    <n v="5"/>
    <n v="0.05"/>
    <x v="190"/>
    <n v="284.39"/>
  </r>
  <r>
    <s v="ORD-00995"/>
    <d v="2025-10-29T00:00:00"/>
    <s v="CUST-0174"/>
    <x v="7"/>
    <x v="3"/>
    <x v="2"/>
    <n v="4"/>
    <n v="0.05"/>
    <x v="19"/>
    <n v="6.13"/>
  </r>
  <r>
    <s v="ORD-00996"/>
    <d v="2025-10-30T00:00:00"/>
    <s v="CUST-0298"/>
    <x v="3"/>
    <x v="2"/>
    <x v="3"/>
    <n v="2"/>
    <n v="0.15"/>
    <x v="84"/>
    <n v="249.51"/>
  </r>
  <r>
    <s v="ORD-00997"/>
    <d v="2025-10-30T00:00:00"/>
    <s v="CUST-0131"/>
    <x v="3"/>
    <x v="2"/>
    <x v="3"/>
    <n v="4"/>
    <n v="0.15"/>
    <x v="121"/>
    <n v="175.86"/>
  </r>
  <r>
    <s v="ORD-00998"/>
    <d v="2025-10-30T00:00:00"/>
    <s v="CUST-0118"/>
    <x v="3"/>
    <x v="2"/>
    <x v="3"/>
    <n v="2"/>
    <n v="0.05"/>
    <x v="179"/>
    <n v="222.58"/>
  </r>
  <r>
    <s v="ORD-00999"/>
    <d v="2025-10-30T00:00:00"/>
    <s v="CUST-0025"/>
    <x v="1"/>
    <x v="1"/>
    <x v="1"/>
    <n v="5"/>
    <n v="0.1"/>
    <x v="152"/>
    <n v="171.73"/>
  </r>
  <r>
    <s v="ORD-01000"/>
    <d v="2025-10-31T00:00:00"/>
    <s v="CUST-0134"/>
    <x v="8"/>
    <x v="0"/>
    <x v="2"/>
    <n v="2"/>
    <n v="0.1"/>
    <x v="86"/>
    <n v="16.84"/>
  </r>
  <r>
    <s v="ORD-01001"/>
    <d v="2025-10-31T00:00:00"/>
    <s v="CUST-0199"/>
    <x v="1"/>
    <x v="1"/>
    <x v="0"/>
    <n v="1"/>
    <n v="0"/>
    <x v="25"/>
    <n v="64.34"/>
  </r>
  <r>
    <s v="ORD-01002"/>
    <d v="2025-10-31T00:00:00"/>
    <s v="CUST-0068"/>
    <x v="7"/>
    <x v="3"/>
    <x v="0"/>
    <n v="1"/>
    <n v="0.05"/>
    <x v="87"/>
    <n v="2.29"/>
  </r>
  <r>
    <s v="ORD-01003"/>
    <d v="2025-11-01T00:00:00"/>
    <s v="CUST-0049"/>
    <x v="7"/>
    <x v="3"/>
    <x v="2"/>
    <n v="3"/>
    <n v="0.1"/>
    <x v="132"/>
    <n v="2.85"/>
  </r>
  <r>
    <s v="ORD-01004"/>
    <d v="2025-11-01T00:00:00"/>
    <s v="CUST-0098"/>
    <x v="7"/>
    <x v="3"/>
    <x v="2"/>
    <n v="4"/>
    <n v="0.1"/>
    <x v="188"/>
    <n v="5"/>
  </r>
  <r>
    <s v="ORD-01005"/>
    <d v="2025-11-01T00:00:00"/>
    <s v="CUST-0066"/>
    <x v="7"/>
    <x v="3"/>
    <x v="1"/>
    <n v="5"/>
    <n v="0"/>
    <x v="51"/>
    <n v="15.19"/>
  </r>
  <r>
    <s v="ORD-01006"/>
    <d v="2025-11-02T00:00:00"/>
    <s v="CUST-0130"/>
    <x v="6"/>
    <x v="2"/>
    <x v="2"/>
    <n v="5"/>
    <n v="0.1"/>
    <x v="21"/>
    <n v="134.62"/>
  </r>
  <r>
    <s v="ORD-01007"/>
    <d v="2025-11-02T00:00:00"/>
    <s v="CUST-0296"/>
    <x v="1"/>
    <x v="1"/>
    <x v="1"/>
    <n v="3"/>
    <n v="0.2"/>
    <x v="33"/>
    <n v="44.02"/>
  </r>
  <r>
    <s v="ORD-01008"/>
    <d v="2025-11-02T00:00:00"/>
    <s v="CUST-0134"/>
    <x v="1"/>
    <x v="1"/>
    <x v="0"/>
    <n v="3"/>
    <n v="0.05"/>
    <x v="157"/>
    <n v="108.17"/>
  </r>
  <r>
    <s v="ORD-01009"/>
    <d v="2025-11-03T00:00:00"/>
    <s v="CUST-0222"/>
    <x v="1"/>
    <x v="1"/>
    <x v="0"/>
    <n v="2"/>
    <n v="0.05"/>
    <x v="73"/>
    <n v="60.07"/>
  </r>
  <r>
    <s v="ORD-01010"/>
    <d v="2025-11-03T00:00:00"/>
    <s v="CUST-0107"/>
    <x v="4"/>
    <x v="2"/>
    <x v="0"/>
    <n v="3"/>
    <n v="0.05"/>
    <x v="67"/>
    <n v="234.11"/>
  </r>
  <r>
    <s v="ORD-01011"/>
    <d v="2025-11-03T00:00:00"/>
    <s v="CUST-0069"/>
    <x v="0"/>
    <x v="0"/>
    <x v="3"/>
    <n v="3"/>
    <n v="0.1"/>
    <x v="17"/>
    <n v="37.15"/>
  </r>
  <r>
    <s v="ORD-01012"/>
    <d v="2025-11-03T00:00:00"/>
    <s v="CUST-0017"/>
    <x v="2"/>
    <x v="1"/>
    <x v="1"/>
    <n v="5"/>
    <n v="0"/>
    <x v="55"/>
    <n v="387.08"/>
  </r>
  <r>
    <s v="ORD-01013"/>
    <d v="2025-11-04T00:00:00"/>
    <s v="CUST-0106"/>
    <x v="2"/>
    <x v="1"/>
    <x v="2"/>
    <n v="5"/>
    <n v="0.15"/>
    <x v="32"/>
    <n v="98.05"/>
  </r>
  <r>
    <s v="ORD-01014"/>
    <d v="2025-11-04T00:00:00"/>
    <s v="CUST-0238"/>
    <x v="4"/>
    <x v="2"/>
    <x v="1"/>
    <n v="2"/>
    <n v="0.2"/>
    <x v="195"/>
    <n v="74.48"/>
  </r>
  <r>
    <s v="ORD-01015"/>
    <d v="2025-11-04T00:00:00"/>
    <s v="CUST-0223"/>
    <x v="6"/>
    <x v="2"/>
    <x v="3"/>
    <n v="2"/>
    <n v="0.1"/>
    <x v="33"/>
    <n v="122.75"/>
  </r>
  <r>
    <s v="ORD-01016"/>
    <d v="2025-11-05T00:00:00"/>
    <s v="CUST-0106"/>
    <x v="3"/>
    <x v="2"/>
    <x v="0"/>
    <n v="4"/>
    <n v="0"/>
    <x v="53"/>
    <n v="897.21"/>
  </r>
  <r>
    <s v="ORD-01017"/>
    <d v="2025-11-05T00:00:00"/>
    <s v="CUST-0130"/>
    <x v="8"/>
    <x v="0"/>
    <x v="2"/>
    <n v="1"/>
    <n v="0.2"/>
    <x v="93"/>
    <n v="1.55"/>
  </r>
  <r>
    <s v="ORD-01018"/>
    <d v="2025-11-05T00:00:00"/>
    <s v="CUST-0267"/>
    <x v="3"/>
    <x v="2"/>
    <x v="3"/>
    <n v="2"/>
    <n v="0.1"/>
    <x v="24"/>
    <n v="314.07"/>
  </r>
  <r>
    <s v="ORD-01019"/>
    <d v="2025-11-06T00:00:00"/>
    <s v="CUST-0139"/>
    <x v="6"/>
    <x v="2"/>
    <x v="2"/>
    <n v="4"/>
    <n v="0.05"/>
    <x v="20"/>
    <n v="215.3"/>
  </r>
  <r>
    <s v="ORD-01020"/>
    <d v="2025-11-06T00:00:00"/>
    <s v="CUST-0008"/>
    <x v="2"/>
    <x v="1"/>
    <x v="2"/>
    <n v="4"/>
    <n v="0"/>
    <x v="138"/>
    <n v="192.69"/>
  </r>
  <r>
    <s v="ORD-01021"/>
    <d v="2025-11-06T00:00:00"/>
    <s v="CUST-0242"/>
    <x v="7"/>
    <x v="3"/>
    <x v="0"/>
    <n v="4"/>
    <n v="0.1"/>
    <x v="188"/>
    <n v="3.48"/>
  </r>
  <r>
    <s v="ORD-01022"/>
    <d v="2025-11-06T00:00:00"/>
    <s v="CUST-0020"/>
    <x v="8"/>
    <x v="0"/>
    <x v="2"/>
    <n v="5"/>
    <n v="0"/>
    <x v="89"/>
    <n v="82.36"/>
  </r>
  <r>
    <s v="ORD-01023"/>
    <d v="2025-11-07T00:00:00"/>
    <s v="CUST-0246"/>
    <x v="0"/>
    <x v="0"/>
    <x v="0"/>
    <n v="1"/>
    <n v="0.05"/>
    <x v="156"/>
    <n v="10.039999999999999"/>
  </r>
  <r>
    <s v="ORD-01024"/>
    <d v="2025-11-07T00:00:00"/>
    <s v="CUST-0145"/>
    <x v="8"/>
    <x v="0"/>
    <x v="3"/>
    <n v="4"/>
    <n v="0.15"/>
    <x v="163"/>
    <n v="39.93"/>
  </r>
  <r>
    <s v="ORD-01025"/>
    <d v="2025-11-07T00:00:00"/>
    <s v="CUST-0248"/>
    <x v="5"/>
    <x v="2"/>
    <x v="1"/>
    <n v="3"/>
    <n v="0"/>
    <x v="76"/>
    <n v="44.52"/>
  </r>
  <r>
    <s v="ORD-01026"/>
    <d v="2025-11-08T00:00:00"/>
    <s v="CUST-0018"/>
    <x v="2"/>
    <x v="1"/>
    <x v="2"/>
    <n v="1"/>
    <n v="0"/>
    <x v="50"/>
    <n v="62.33"/>
  </r>
  <r>
    <s v="ORD-01027"/>
    <d v="2025-11-08T00:00:00"/>
    <s v="CUST-0283"/>
    <x v="6"/>
    <x v="2"/>
    <x v="1"/>
    <n v="4"/>
    <n v="0.15"/>
    <x v="14"/>
    <n v="174.75"/>
  </r>
  <r>
    <s v="ORD-01028"/>
    <d v="2025-11-08T00:00:00"/>
    <s v="CUST-0025"/>
    <x v="6"/>
    <x v="2"/>
    <x v="3"/>
    <n v="4"/>
    <n v="0.05"/>
    <x v="20"/>
    <n v="128.41"/>
  </r>
  <r>
    <s v="ORD-01029"/>
    <d v="2025-11-09T00:00:00"/>
    <s v="CUST-0287"/>
    <x v="0"/>
    <x v="0"/>
    <x v="2"/>
    <n v="2"/>
    <n v="0.05"/>
    <x v="78"/>
    <n v="26.95"/>
  </r>
  <r>
    <s v="ORD-01030"/>
    <d v="2025-11-09T00:00:00"/>
    <s v="CUST-0229"/>
    <x v="0"/>
    <x v="0"/>
    <x v="1"/>
    <n v="1"/>
    <n v="0.15"/>
    <x v="186"/>
    <n v="9.76"/>
  </r>
  <r>
    <s v="ORD-01031"/>
    <d v="2025-11-09T00:00:00"/>
    <s v="CUST-0110"/>
    <x v="1"/>
    <x v="1"/>
    <x v="1"/>
    <n v="3"/>
    <n v="0.15"/>
    <x v="183"/>
    <n v="86.81"/>
  </r>
  <r>
    <s v="ORD-01032"/>
    <d v="2025-11-09T00:00:00"/>
    <s v="CUST-0177"/>
    <x v="9"/>
    <x v="0"/>
    <x v="3"/>
    <n v="5"/>
    <n v="0.15"/>
    <x v="118"/>
    <n v="27.56"/>
  </r>
  <r>
    <s v="ORD-01033"/>
    <d v="2025-11-10T00:00:00"/>
    <s v="CUST-0013"/>
    <x v="5"/>
    <x v="2"/>
    <x v="2"/>
    <n v="2"/>
    <n v="0.1"/>
    <x v="81"/>
    <n v="28.27"/>
  </r>
  <r>
    <s v="ORD-01034"/>
    <d v="2025-11-10T00:00:00"/>
    <s v="CUST-0275"/>
    <x v="6"/>
    <x v="2"/>
    <x v="1"/>
    <n v="4"/>
    <n v="0.15"/>
    <x v="14"/>
    <n v="89.25"/>
  </r>
  <r>
    <s v="ORD-01035"/>
    <d v="2025-11-10T00:00:00"/>
    <s v="CUST-0280"/>
    <x v="0"/>
    <x v="0"/>
    <x v="1"/>
    <n v="3"/>
    <n v="0.05"/>
    <x v="187"/>
    <n v="43.95"/>
  </r>
  <r>
    <s v="ORD-01036"/>
    <d v="2025-11-11T00:00:00"/>
    <s v="CUST-0005"/>
    <x v="2"/>
    <x v="1"/>
    <x v="1"/>
    <n v="1"/>
    <n v="0.05"/>
    <x v="3"/>
    <n v="32.44"/>
  </r>
  <r>
    <s v="ORD-01037"/>
    <d v="2025-11-11T00:00:00"/>
    <s v="CUST-0104"/>
    <x v="8"/>
    <x v="0"/>
    <x v="3"/>
    <n v="5"/>
    <n v="0.05"/>
    <x v="38"/>
    <n v="64.34"/>
  </r>
  <r>
    <s v="ORD-01038"/>
    <d v="2025-11-11T00:00:00"/>
    <s v="CUST-0108"/>
    <x v="7"/>
    <x v="3"/>
    <x v="2"/>
    <n v="2"/>
    <n v="0.15"/>
    <x v="159"/>
    <n v="0.78"/>
  </r>
  <r>
    <s v="ORD-01039"/>
    <d v="2025-11-12T00:00:00"/>
    <s v="CUST-0127"/>
    <x v="5"/>
    <x v="2"/>
    <x v="0"/>
    <n v="5"/>
    <n v="0.15"/>
    <x v="113"/>
    <n v="36.409999999999997"/>
  </r>
  <r>
    <s v="ORD-01040"/>
    <d v="2025-11-12T00:00:00"/>
    <s v="CUST-0151"/>
    <x v="0"/>
    <x v="0"/>
    <x v="2"/>
    <n v="2"/>
    <n v="0.15"/>
    <x v="185"/>
    <n v="17.690000000000001"/>
  </r>
  <r>
    <s v="ORD-01041"/>
    <d v="2025-11-12T00:00:00"/>
    <s v="CUST-0169"/>
    <x v="6"/>
    <x v="2"/>
    <x v="0"/>
    <n v="5"/>
    <n v="0.1"/>
    <x v="21"/>
    <n v="289.93"/>
  </r>
  <r>
    <s v="ORD-01042"/>
    <d v="2025-11-13T00:00:00"/>
    <s v="CUST-0255"/>
    <x v="5"/>
    <x v="2"/>
    <x v="3"/>
    <n v="2"/>
    <n v="0.05"/>
    <x v="7"/>
    <n v="31.37"/>
  </r>
  <r>
    <s v="ORD-01043"/>
    <d v="2025-11-13T00:00:00"/>
    <s v="CUST-0108"/>
    <x v="1"/>
    <x v="1"/>
    <x v="1"/>
    <n v="5"/>
    <n v="0.05"/>
    <x v="143"/>
    <n v="259.37"/>
  </r>
  <r>
    <s v="ORD-01044"/>
    <d v="2025-11-13T00:00:00"/>
    <s v="CUST-0219"/>
    <x v="2"/>
    <x v="1"/>
    <x v="3"/>
    <n v="5"/>
    <n v="0.05"/>
    <x v="165"/>
    <n v="307.44"/>
  </r>
  <r>
    <s v="ORD-01045"/>
    <d v="2025-11-13T00:00:00"/>
    <s v="CUST-0189"/>
    <x v="9"/>
    <x v="0"/>
    <x v="3"/>
    <n v="5"/>
    <n v="0"/>
    <x v="154"/>
    <n v="50.89"/>
  </r>
  <r>
    <s v="ORD-01046"/>
    <d v="2025-11-14T00:00:00"/>
    <s v="CUST-0090"/>
    <x v="1"/>
    <x v="1"/>
    <x v="0"/>
    <n v="5"/>
    <n v="0.05"/>
    <x v="143"/>
    <n v="295.42"/>
  </r>
  <r>
    <s v="ORD-01047"/>
    <d v="2025-11-14T00:00:00"/>
    <s v="CUST-0244"/>
    <x v="3"/>
    <x v="2"/>
    <x v="1"/>
    <n v="4"/>
    <n v="0.1"/>
    <x v="37"/>
    <n v="518.41999999999996"/>
  </r>
  <r>
    <s v="ORD-01048"/>
    <d v="2025-11-14T00:00:00"/>
    <s v="CUST-0103"/>
    <x v="9"/>
    <x v="0"/>
    <x v="1"/>
    <n v="3"/>
    <n v="0"/>
    <x v="106"/>
    <n v="17.36"/>
  </r>
  <r>
    <s v="ORD-01049"/>
    <d v="2025-11-15T00:00:00"/>
    <s v="CUST-0033"/>
    <x v="7"/>
    <x v="3"/>
    <x v="3"/>
    <n v="3"/>
    <n v="0.2"/>
    <x v="105"/>
    <n v="3"/>
  </r>
  <r>
    <s v="ORD-01050"/>
    <d v="2025-11-15T00:00:00"/>
    <s v="CUST-0074"/>
    <x v="9"/>
    <x v="0"/>
    <x v="3"/>
    <n v="1"/>
    <n v="0.15"/>
    <x v="109"/>
    <n v="1.32"/>
  </r>
  <r>
    <s v="ORD-01051"/>
    <d v="2025-11-15T00:00:00"/>
    <s v="CUST-0010"/>
    <x v="6"/>
    <x v="2"/>
    <x v="2"/>
    <n v="5"/>
    <n v="0.05"/>
    <x v="190"/>
    <n v="337.86"/>
  </r>
  <r>
    <s v="ORD-01052"/>
    <d v="2025-11-16T00:00:00"/>
    <s v="CUST-0292"/>
    <x v="8"/>
    <x v="0"/>
    <x v="0"/>
    <n v="4"/>
    <n v="0.2"/>
    <x v="81"/>
    <n v="30.71"/>
  </r>
  <r>
    <s v="ORD-01053"/>
    <d v="2025-11-16T00:00:00"/>
    <s v="CUST-0009"/>
    <x v="0"/>
    <x v="0"/>
    <x v="0"/>
    <n v="4"/>
    <n v="0"/>
    <x v="50"/>
    <n v="55.93"/>
  </r>
  <r>
    <s v="ORD-01054"/>
    <d v="2025-11-16T00:00:00"/>
    <s v="CUST-0121"/>
    <x v="2"/>
    <x v="1"/>
    <x v="3"/>
    <n v="2"/>
    <n v="0.1"/>
    <x v="146"/>
    <n v="75.45"/>
  </r>
  <r>
    <s v="ORD-01055"/>
    <d v="2025-11-16T00:00:00"/>
    <s v="CUST-0255"/>
    <x v="5"/>
    <x v="2"/>
    <x v="0"/>
    <n v="1"/>
    <n v="0.1"/>
    <x v="88"/>
    <n v="14.57"/>
  </r>
  <r>
    <s v="ORD-01056"/>
    <d v="2025-11-17T00:00:00"/>
    <s v="CUST-0069"/>
    <x v="5"/>
    <x v="2"/>
    <x v="1"/>
    <n v="4"/>
    <n v="0"/>
    <x v="127"/>
    <n v="117.86"/>
  </r>
  <r>
    <s v="ORD-01057"/>
    <d v="2025-11-17T00:00:00"/>
    <s v="CUST-0251"/>
    <x v="7"/>
    <x v="3"/>
    <x v="3"/>
    <n v="1"/>
    <n v="0"/>
    <x v="120"/>
    <n v="2.4700000000000002"/>
  </r>
  <r>
    <s v="ORD-01058"/>
    <d v="2025-11-17T00:00:00"/>
    <s v="CUST-0090"/>
    <x v="9"/>
    <x v="0"/>
    <x v="0"/>
    <n v="3"/>
    <n v="0.1"/>
    <x v="86"/>
    <n v="13.07"/>
  </r>
  <r>
    <s v="ORD-01059"/>
    <d v="2025-11-18T00:00:00"/>
    <s v="CUST-0199"/>
    <x v="8"/>
    <x v="0"/>
    <x v="3"/>
    <n v="4"/>
    <n v="0.1"/>
    <x v="70"/>
    <n v="35.61"/>
  </r>
  <r>
    <s v="ORD-01060"/>
    <d v="2025-11-18T00:00:00"/>
    <s v="CUST-0239"/>
    <x v="5"/>
    <x v="2"/>
    <x v="3"/>
    <n v="1"/>
    <n v="0.1"/>
    <x v="88"/>
    <n v="11.82"/>
  </r>
  <r>
    <s v="ORD-01061"/>
    <d v="2025-11-18T00:00:00"/>
    <s v="CUST-0177"/>
    <x v="9"/>
    <x v="0"/>
    <x v="2"/>
    <n v="3"/>
    <n v="0.1"/>
    <x v="86"/>
    <n v="9.7799999999999994"/>
  </r>
  <r>
    <s v="ORD-01062"/>
    <d v="2025-11-19T00:00:00"/>
    <s v="CUST-0195"/>
    <x v="7"/>
    <x v="3"/>
    <x v="1"/>
    <n v="1"/>
    <n v="0.15"/>
    <x v="181"/>
    <n v="0.46"/>
  </r>
  <r>
    <s v="ORD-01063"/>
    <d v="2025-11-19T00:00:00"/>
    <s v="CUST-0076"/>
    <x v="3"/>
    <x v="2"/>
    <x v="3"/>
    <n v="2"/>
    <n v="0.15"/>
    <x v="84"/>
    <n v="174.05"/>
  </r>
  <r>
    <s v="ORD-01064"/>
    <d v="2025-11-19T00:00:00"/>
    <s v="CUST-0246"/>
    <x v="2"/>
    <x v="1"/>
    <x v="0"/>
    <n v="4"/>
    <n v="0.15"/>
    <x v="49"/>
    <n v="166.5"/>
  </r>
  <r>
    <s v="ORD-01065"/>
    <d v="2025-11-20T00:00:00"/>
    <s v="CUST-0145"/>
    <x v="1"/>
    <x v="1"/>
    <x v="1"/>
    <n v="4"/>
    <n v="0.05"/>
    <x v="31"/>
    <n v="179.76"/>
  </r>
  <r>
    <s v="ORD-01066"/>
    <d v="2025-11-20T00:00:00"/>
    <s v="CUST-0206"/>
    <x v="2"/>
    <x v="1"/>
    <x v="1"/>
    <n v="5"/>
    <n v="0.1"/>
    <x v="140"/>
    <n v="172.69"/>
  </r>
  <r>
    <s v="ORD-01067"/>
    <d v="2025-11-20T00:00:00"/>
    <s v="CUST-0300"/>
    <x v="1"/>
    <x v="1"/>
    <x v="3"/>
    <n v="4"/>
    <n v="0.1"/>
    <x v="110"/>
    <n v="61.45"/>
  </r>
  <r>
    <s v="ORD-01068"/>
    <d v="2025-11-20T00:00:00"/>
    <s v="CUST-0194"/>
    <x v="6"/>
    <x v="2"/>
    <x v="0"/>
    <n v="4"/>
    <n v="0"/>
    <x v="59"/>
    <n v="292.64"/>
  </r>
  <r>
    <s v="ORD-01069"/>
    <d v="2025-11-21T00:00:00"/>
    <s v="CUST-0231"/>
    <x v="0"/>
    <x v="0"/>
    <x v="0"/>
    <n v="2"/>
    <n v="0.05"/>
    <x v="78"/>
    <n v="29.06"/>
  </r>
  <r>
    <s v="ORD-01070"/>
    <d v="2025-11-21T00:00:00"/>
    <s v="CUST-0128"/>
    <x v="7"/>
    <x v="3"/>
    <x v="3"/>
    <n v="2"/>
    <n v="0.05"/>
    <x v="45"/>
    <n v="4.1500000000000004"/>
  </r>
  <r>
    <s v="ORD-01071"/>
    <d v="2025-11-21T00:00:00"/>
    <s v="CUST-0085"/>
    <x v="2"/>
    <x v="1"/>
    <x v="1"/>
    <n v="1"/>
    <n v="0.1"/>
    <x v="39"/>
    <n v="49.2"/>
  </r>
  <r>
    <s v="ORD-01072"/>
    <d v="2025-11-22T00:00:00"/>
    <s v="CUST-0185"/>
    <x v="2"/>
    <x v="1"/>
    <x v="1"/>
    <n v="1"/>
    <n v="0"/>
    <x v="50"/>
    <n v="49.52"/>
  </r>
  <r>
    <s v="ORD-01073"/>
    <d v="2025-11-22T00:00:00"/>
    <s v="CUST-0147"/>
    <x v="1"/>
    <x v="1"/>
    <x v="2"/>
    <n v="5"/>
    <n v="0.2"/>
    <x v="9"/>
    <n v="79.73"/>
  </r>
  <r>
    <s v="ORD-01074"/>
    <d v="2025-11-22T00:00:00"/>
    <s v="CUST-0221"/>
    <x v="5"/>
    <x v="2"/>
    <x v="3"/>
    <n v="1"/>
    <n v="0"/>
    <x v="171"/>
    <n v="20.65"/>
  </r>
  <r>
    <s v="ORD-01075"/>
    <d v="2025-11-23T00:00:00"/>
    <s v="CUST-0262"/>
    <x v="3"/>
    <x v="2"/>
    <x v="0"/>
    <n v="4"/>
    <n v="0.05"/>
    <x v="12"/>
    <n v="655.61"/>
  </r>
  <r>
    <s v="ORD-01076"/>
    <d v="2025-11-23T00:00:00"/>
    <s v="CUST-0080"/>
    <x v="3"/>
    <x v="2"/>
    <x v="2"/>
    <n v="2"/>
    <n v="0.05"/>
    <x v="179"/>
    <n v="183.2"/>
  </r>
  <r>
    <s v="ORD-01077"/>
    <d v="2025-11-23T00:00:00"/>
    <s v="CUST-0156"/>
    <x v="0"/>
    <x v="0"/>
    <x v="0"/>
    <n v="4"/>
    <n v="0.05"/>
    <x v="3"/>
    <n v="60.34"/>
  </r>
  <r>
    <s v="ORD-01078"/>
    <d v="2025-11-23T00:00:00"/>
    <s v="CUST-0093"/>
    <x v="9"/>
    <x v="0"/>
    <x v="3"/>
    <n v="5"/>
    <n v="0.1"/>
    <x v="26"/>
    <n v="33.520000000000003"/>
  </r>
  <r>
    <s v="ORD-01079"/>
    <d v="2025-11-24T00:00:00"/>
    <s v="CUST-0227"/>
    <x v="3"/>
    <x v="2"/>
    <x v="0"/>
    <n v="1"/>
    <n v="0.1"/>
    <x v="94"/>
    <n v="75.319999999999993"/>
  </r>
  <r>
    <s v="ORD-01080"/>
    <d v="2025-11-24T00:00:00"/>
    <s v="CUST-0055"/>
    <x v="9"/>
    <x v="0"/>
    <x v="2"/>
    <n v="3"/>
    <n v="0.1"/>
    <x v="86"/>
    <n v="18.760000000000002"/>
  </r>
  <r>
    <s v="ORD-01081"/>
    <d v="2025-11-24T00:00:00"/>
    <s v="CUST-0198"/>
    <x v="1"/>
    <x v="1"/>
    <x v="3"/>
    <n v="4"/>
    <n v="0"/>
    <x v="9"/>
    <n v="229.94"/>
  </r>
  <r>
    <s v="ORD-01082"/>
    <d v="2025-11-25T00:00:00"/>
    <s v="CUST-0275"/>
    <x v="2"/>
    <x v="1"/>
    <x v="3"/>
    <n v="5"/>
    <n v="0.05"/>
    <x v="165"/>
    <n v="188.28"/>
  </r>
  <r>
    <s v="ORD-01083"/>
    <d v="2025-11-25T00:00:00"/>
    <s v="CUST-0017"/>
    <x v="9"/>
    <x v="0"/>
    <x v="3"/>
    <n v="2"/>
    <n v="0.2"/>
    <x v="192"/>
    <n v="4.3499999999999996"/>
  </r>
  <r>
    <s v="ORD-01084"/>
    <d v="2025-11-25T00:00:00"/>
    <s v="CUST-0246"/>
    <x v="5"/>
    <x v="2"/>
    <x v="3"/>
    <n v="4"/>
    <n v="0.1"/>
    <x v="82"/>
    <n v="75.959999999999994"/>
  </r>
  <r>
    <s v="ORD-01085"/>
    <d v="2025-11-26T00:00:00"/>
    <s v="CUST-0197"/>
    <x v="0"/>
    <x v="0"/>
    <x v="1"/>
    <n v="1"/>
    <n v="0.15"/>
    <x v="186"/>
    <n v="11.58"/>
  </r>
  <r>
    <s v="ORD-01086"/>
    <d v="2025-11-26T00:00:00"/>
    <s v="CUST-0014"/>
    <x v="1"/>
    <x v="1"/>
    <x v="0"/>
    <n v="5"/>
    <n v="0"/>
    <x v="43"/>
    <n v="244.12"/>
  </r>
  <r>
    <s v="ORD-01087"/>
    <d v="2025-11-26T00:00:00"/>
    <s v="CUST-0017"/>
    <x v="5"/>
    <x v="2"/>
    <x v="1"/>
    <n v="2"/>
    <n v="0.2"/>
    <x v="128"/>
    <n v="9.24"/>
  </r>
  <r>
    <s v="ORD-01088"/>
    <d v="2025-11-26T00:00:00"/>
    <s v="CUST-0288"/>
    <x v="9"/>
    <x v="0"/>
    <x v="2"/>
    <n v="3"/>
    <n v="0"/>
    <x v="106"/>
    <n v="27.28"/>
  </r>
  <r>
    <s v="ORD-01089"/>
    <d v="2025-11-27T00:00:00"/>
    <s v="CUST-0214"/>
    <x v="6"/>
    <x v="2"/>
    <x v="3"/>
    <n v="4"/>
    <n v="0.05"/>
    <x v="20"/>
    <n v="164.35"/>
  </r>
  <r>
    <s v="ORD-01090"/>
    <d v="2025-11-27T00:00:00"/>
    <s v="CUST-0109"/>
    <x v="4"/>
    <x v="2"/>
    <x v="0"/>
    <n v="5"/>
    <n v="0.15"/>
    <x v="196"/>
    <n v="455.86"/>
  </r>
  <r>
    <s v="ORD-01091"/>
    <d v="2025-11-27T00:00:00"/>
    <s v="CUST-0146"/>
    <x v="7"/>
    <x v="3"/>
    <x v="2"/>
    <n v="3"/>
    <n v="0"/>
    <x v="30"/>
    <n v="6.01"/>
  </r>
  <r>
    <s v="ORD-01092"/>
    <d v="2025-11-28T00:00:00"/>
    <s v="CUST-0072"/>
    <x v="5"/>
    <x v="2"/>
    <x v="1"/>
    <n v="3"/>
    <n v="0"/>
    <x v="76"/>
    <n v="63.88"/>
  </r>
  <r>
    <s v="ORD-01093"/>
    <d v="2025-11-28T00:00:00"/>
    <s v="CUST-0201"/>
    <x v="5"/>
    <x v="2"/>
    <x v="1"/>
    <n v="4"/>
    <n v="0"/>
    <x v="127"/>
    <n v="92.29"/>
  </r>
  <r>
    <s v="ORD-01094"/>
    <d v="2025-11-28T00:00:00"/>
    <s v="CUST-0220"/>
    <x v="9"/>
    <x v="0"/>
    <x v="1"/>
    <n v="3"/>
    <n v="0.2"/>
    <x v="88"/>
    <n v="11.74"/>
  </r>
  <r>
    <s v="ORD-01095"/>
    <d v="2025-11-29T00:00:00"/>
    <s v="CUST-0194"/>
    <x v="1"/>
    <x v="1"/>
    <x v="3"/>
    <n v="4"/>
    <n v="0.05"/>
    <x v="31"/>
    <n v="109.58"/>
  </r>
  <r>
    <s v="ORD-01096"/>
    <d v="2025-11-29T00:00:00"/>
    <s v="CUST-0088"/>
    <x v="8"/>
    <x v="0"/>
    <x v="0"/>
    <n v="4"/>
    <n v="0"/>
    <x v="25"/>
    <n v="64.569999999999993"/>
  </r>
  <r>
    <s v="ORD-01097"/>
    <d v="2025-11-29T00:00:00"/>
    <s v="CUST-0108"/>
    <x v="3"/>
    <x v="2"/>
    <x v="1"/>
    <n v="1"/>
    <n v="0"/>
    <x v="176"/>
    <n v="123.69"/>
  </r>
  <r>
    <s v="ORD-01098"/>
    <d v="2025-11-30T00:00:00"/>
    <s v="CUST-0074"/>
    <x v="7"/>
    <x v="3"/>
    <x v="3"/>
    <n v="4"/>
    <n v="0.2"/>
    <x v="69"/>
    <n v="3.13"/>
  </r>
  <r>
    <s v="ORD-01099"/>
    <d v="2025-11-30T00:00:00"/>
    <s v="CUST-0252"/>
    <x v="7"/>
    <x v="3"/>
    <x v="3"/>
    <n v="1"/>
    <n v="0"/>
    <x v="120"/>
    <n v="1.95"/>
  </r>
  <r>
    <s v="ORD-01100"/>
    <d v="2025-11-30T00:00:00"/>
    <s v="CUST-0179"/>
    <x v="0"/>
    <x v="0"/>
    <x v="1"/>
    <n v="2"/>
    <n v="0"/>
    <x v="1"/>
    <n v="28.68"/>
  </r>
  <r>
    <s v="ORD-01101"/>
    <d v="2025-11-30T00:00:00"/>
    <s v="CUST-0003"/>
    <x v="5"/>
    <x v="2"/>
    <x v="1"/>
    <n v="4"/>
    <n v="0.1"/>
    <x v="82"/>
    <n v="37.450000000000003"/>
  </r>
  <r>
    <s v="ORD-01102"/>
    <d v="2025-12-01T00:00:00"/>
    <s v="CUST-0093"/>
    <x v="8"/>
    <x v="0"/>
    <x v="2"/>
    <n v="2"/>
    <n v="0"/>
    <x v="106"/>
    <n v="32.96"/>
  </r>
  <r>
    <s v="ORD-01103"/>
    <d v="2025-12-01T00:00:00"/>
    <s v="CUST-0231"/>
    <x v="3"/>
    <x v="2"/>
    <x v="2"/>
    <n v="5"/>
    <n v="0.1"/>
    <x v="71"/>
    <n v="828.33"/>
  </r>
  <r>
    <s v="ORD-01104"/>
    <d v="2025-12-01T00:00:00"/>
    <s v="CUST-0219"/>
    <x v="3"/>
    <x v="2"/>
    <x v="0"/>
    <n v="4"/>
    <n v="0"/>
    <x v="53"/>
    <n v="774.2"/>
  </r>
  <r>
    <s v="ORD-01105"/>
    <d v="2025-12-02T00:00:00"/>
    <s v="CUST-0259"/>
    <x v="4"/>
    <x v="2"/>
    <x v="2"/>
    <n v="5"/>
    <n v="0.05"/>
    <x v="6"/>
    <n v="336.77"/>
  </r>
  <r>
    <s v="ORD-01106"/>
    <d v="2025-12-02T00:00:00"/>
    <s v="CUST-0056"/>
    <x v="6"/>
    <x v="2"/>
    <x v="2"/>
    <n v="5"/>
    <n v="0"/>
    <x v="95"/>
    <n v="379.94"/>
  </r>
  <r>
    <s v="ORD-01107"/>
    <d v="2025-12-02T00:00:00"/>
    <s v="CUST-0155"/>
    <x v="6"/>
    <x v="2"/>
    <x v="1"/>
    <n v="5"/>
    <n v="0.15"/>
    <x v="11"/>
    <n v="73.23"/>
  </r>
  <r>
    <s v="ORD-01108"/>
    <d v="2025-12-03T00:00:00"/>
    <s v="CUST-0258"/>
    <x v="3"/>
    <x v="2"/>
    <x v="0"/>
    <n v="4"/>
    <n v="0.05"/>
    <x v="12"/>
    <n v="826.33"/>
  </r>
  <r>
    <s v="ORD-01109"/>
    <d v="2025-12-03T00:00:00"/>
    <s v="CUST-0022"/>
    <x v="1"/>
    <x v="1"/>
    <x v="3"/>
    <n v="2"/>
    <n v="0.05"/>
    <x v="73"/>
    <n v="68.88"/>
  </r>
  <r>
    <s v="ORD-01110"/>
    <d v="2025-12-03T00:00:00"/>
    <s v="CUST-0216"/>
    <x v="0"/>
    <x v="0"/>
    <x v="0"/>
    <n v="3"/>
    <n v="0.05"/>
    <x v="187"/>
    <n v="39.72"/>
  </r>
  <r>
    <s v="ORD-01111"/>
    <d v="2025-12-03T00:00:00"/>
    <s v="CUST-0268"/>
    <x v="1"/>
    <x v="1"/>
    <x v="0"/>
    <n v="5"/>
    <n v="0"/>
    <x v="43"/>
    <n v="222.78"/>
  </r>
  <r>
    <s v="ORD-01112"/>
    <d v="2025-12-04T00:00:00"/>
    <s v="CUST-0128"/>
    <x v="9"/>
    <x v="0"/>
    <x v="0"/>
    <n v="2"/>
    <n v="0"/>
    <x v="167"/>
    <n v="13.78"/>
  </r>
  <r>
    <s v="ORD-01113"/>
    <d v="2025-12-04T00:00:00"/>
    <s v="CUST-0117"/>
    <x v="4"/>
    <x v="2"/>
    <x v="2"/>
    <n v="3"/>
    <n v="0.05"/>
    <x v="67"/>
    <n v="339.52"/>
  </r>
  <r>
    <s v="ORD-01114"/>
    <d v="2025-12-04T00:00:00"/>
    <s v="CUST-0031"/>
    <x v="7"/>
    <x v="3"/>
    <x v="3"/>
    <n v="2"/>
    <n v="0.1"/>
    <x v="197"/>
    <n v="3.06"/>
  </r>
  <r>
    <s v="ORD-01115"/>
    <d v="2025-12-05T00:00:00"/>
    <s v="CUST-0020"/>
    <x v="0"/>
    <x v="0"/>
    <x v="0"/>
    <n v="5"/>
    <n v="0.05"/>
    <x v="46"/>
    <n v="80.75"/>
  </r>
  <r>
    <s v="ORD-01116"/>
    <d v="2025-12-05T00:00:00"/>
    <s v="CUST-0039"/>
    <x v="5"/>
    <x v="2"/>
    <x v="0"/>
    <n v="2"/>
    <n v="0.05"/>
    <x v="7"/>
    <n v="35.07"/>
  </r>
  <r>
    <s v="ORD-01117"/>
    <d v="2025-12-05T00:00:00"/>
    <s v="CUST-0166"/>
    <x v="8"/>
    <x v="0"/>
    <x v="1"/>
    <n v="5"/>
    <n v="0.05"/>
    <x v="38"/>
    <n v="46.3"/>
  </r>
  <r>
    <s v="ORD-01118"/>
    <d v="2025-12-06T00:00:00"/>
    <s v="CUST-0072"/>
    <x v="8"/>
    <x v="0"/>
    <x v="0"/>
    <n v="4"/>
    <n v="0"/>
    <x v="25"/>
    <n v="45.22"/>
  </r>
  <r>
    <s v="ORD-01119"/>
    <d v="2025-12-06T00:00:00"/>
    <s v="CUST-0133"/>
    <x v="3"/>
    <x v="2"/>
    <x v="3"/>
    <n v="4"/>
    <n v="0.05"/>
    <x v="12"/>
    <n v="438.48"/>
  </r>
  <r>
    <s v="ORD-01120"/>
    <d v="2025-12-06T00:00:00"/>
    <s v="CUST-0138"/>
    <x v="5"/>
    <x v="2"/>
    <x v="3"/>
    <n v="5"/>
    <n v="0.15"/>
    <x v="113"/>
    <n v="52.07"/>
  </r>
  <r>
    <s v="ORD-01121"/>
    <d v="2025-12-07T00:00:00"/>
    <s v="CUST-0225"/>
    <x v="7"/>
    <x v="3"/>
    <x v="2"/>
    <n v="3"/>
    <n v="0.1"/>
    <x v="132"/>
    <n v="2.9"/>
  </r>
  <r>
    <s v="ORD-01122"/>
    <d v="2025-12-07T00:00:00"/>
    <s v="CUST-0169"/>
    <x v="8"/>
    <x v="0"/>
    <x v="2"/>
    <n v="3"/>
    <n v="0.05"/>
    <x v="174"/>
    <n v="30.4"/>
  </r>
  <r>
    <s v="ORD-01123"/>
    <d v="2025-12-07T00:00:00"/>
    <s v="CUST-0280"/>
    <x v="2"/>
    <x v="1"/>
    <x v="0"/>
    <n v="4"/>
    <n v="0.15"/>
    <x v="49"/>
    <n v="56.64"/>
  </r>
  <r>
    <s v="ORD-01124"/>
    <d v="2025-12-07T00:00:00"/>
    <s v="CUST-0047"/>
    <x v="7"/>
    <x v="3"/>
    <x v="0"/>
    <n v="5"/>
    <n v="0"/>
    <x v="51"/>
    <n v="13.14"/>
  </r>
  <r>
    <s v="ORD-01125"/>
    <d v="2025-12-08T00:00:00"/>
    <s v="CUST-0224"/>
    <x v="8"/>
    <x v="0"/>
    <x v="1"/>
    <n v="5"/>
    <n v="0.2"/>
    <x v="25"/>
    <n v="13.03"/>
  </r>
  <r>
    <s v="ORD-01126"/>
    <d v="2025-12-08T00:00:00"/>
    <s v="CUST-0179"/>
    <x v="4"/>
    <x v="2"/>
    <x v="3"/>
    <n v="1"/>
    <n v="0.2"/>
    <x v="57"/>
    <n v="4.18"/>
  </r>
  <r>
    <s v="ORD-01127"/>
    <d v="2025-12-08T00:00:00"/>
    <s v="CUST-0011"/>
    <x v="1"/>
    <x v="1"/>
    <x v="0"/>
    <n v="3"/>
    <n v="0.15"/>
    <x v="183"/>
    <n v="59.09"/>
  </r>
  <r>
    <s v="ORD-01128"/>
    <d v="2025-12-09T00:00:00"/>
    <s v="CUST-0039"/>
    <x v="8"/>
    <x v="0"/>
    <x v="3"/>
    <n v="2"/>
    <n v="0"/>
    <x v="106"/>
    <n v="30.19"/>
  </r>
  <r>
    <s v="ORD-01129"/>
    <d v="2025-12-09T00:00:00"/>
    <s v="CUST-0123"/>
    <x v="8"/>
    <x v="0"/>
    <x v="0"/>
    <n v="2"/>
    <n v="0"/>
    <x v="106"/>
    <n v="19.41"/>
  </r>
  <r>
    <s v="ORD-01130"/>
    <d v="2025-12-09T00:00:00"/>
    <s v="CUST-0281"/>
    <x v="4"/>
    <x v="2"/>
    <x v="3"/>
    <n v="3"/>
    <n v="0.1"/>
    <x v="100"/>
    <n v="125.26"/>
  </r>
  <r>
    <s v="ORD-01131"/>
    <d v="2025-12-10T00:00:00"/>
    <s v="CUST-0210"/>
    <x v="8"/>
    <x v="0"/>
    <x v="1"/>
    <n v="4"/>
    <n v="0"/>
    <x v="25"/>
    <n v="55.36"/>
  </r>
  <r>
    <s v="ORD-01132"/>
    <d v="2025-12-10T00:00:00"/>
    <s v="CUST-0230"/>
    <x v="7"/>
    <x v="3"/>
    <x v="0"/>
    <n v="5"/>
    <n v="0.15"/>
    <x v="48"/>
    <n v="5.49"/>
  </r>
  <r>
    <s v="ORD-01133"/>
    <d v="2025-12-10T00:00:00"/>
    <s v="CUST-0049"/>
    <x v="7"/>
    <x v="3"/>
    <x v="3"/>
    <n v="2"/>
    <n v="0.05"/>
    <x v="45"/>
    <n v="3.6"/>
  </r>
  <r>
    <s v="ORD-01134"/>
    <d v="2025-12-10T00:00:00"/>
    <s v="CUST-0218"/>
    <x v="8"/>
    <x v="0"/>
    <x v="0"/>
    <n v="1"/>
    <n v="0.2"/>
    <x v="93"/>
    <n v="2.14"/>
  </r>
  <r>
    <s v="ORD-01135"/>
    <d v="2025-12-11T00:00:00"/>
    <s v="CUST-0026"/>
    <x v="2"/>
    <x v="1"/>
    <x v="2"/>
    <n v="5"/>
    <n v="0.1"/>
    <x v="140"/>
    <n v="240.48"/>
  </r>
  <r>
    <s v="ORD-01136"/>
    <d v="2025-12-11T00:00:00"/>
    <s v="CUST-0259"/>
    <x v="2"/>
    <x v="1"/>
    <x v="2"/>
    <n v="3"/>
    <n v="0"/>
    <x v="149"/>
    <n v="249.23"/>
  </r>
  <r>
    <s v="ORD-01137"/>
    <d v="2025-12-11T00:00:00"/>
    <s v="CUST-0166"/>
    <x v="9"/>
    <x v="0"/>
    <x v="1"/>
    <n v="3"/>
    <n v="0"/>
    <x v="106"/>
    <n v="22.13"/>
  </r>
  <r>
    <s v="ORD-01138"/>
    <d v="2025-12-12T00:00:00"/>
    <s v="CUST-0264"/>
    <x v="7"/>
    <x v="3"/>
    <x v="0"/>
    <n v="3"/>
    <n v="0"/>
    <x v="30"/>
    <n v="4.62"/>
  </r>
  <r>
    <s v="ORD-01139"/>
    <d v="2025-12-12T00:00:00"/>
    <s v="CUST-0248"/>
    <x v="2"/>
    <x v="1"/>
    <x v="2"/>
    <n v="5"/>
    <n v="0.05"/>
    <x v="165"/>
    <n v="224.17"/>
  </r>
  <r>
    <s v="ORD-01140"/>
    <d v="2025-12-12T00:00:00"/>
    <s v="CUST-0093"/>
    <x v="9"/>
    <x v="0"/>
    <x v="2"/>
    <n v="2"/>
    <n v="0.1"/>
    <x v="44"/>
    <n v="9.2200000000000006"/>
  </r>
  <r>
    <s v="ORD-01141"/>
    <d v="2025-12-13T00:00:00"/>
    <s v="CUST-0292"/>
    <x v="6"/>
    <x v="2"/>
    <x v="2"/>
    <n v="2"/>
    <n v="0.15"/>
    <x v="64"/>
    <n v="40.56"/>
  </r>
  <r>
    <s v="ORD-01142"/>
    <d v="2025-12-13T00:00:00"/>
    <s v="CUST-0232"/>
    <x v="8"/>
    <x v="0"/>
    <x v="0"/>
    <n v="5"/>
    <n v="0"/>
    <x v="89"/>
    <n v="59.05"/>
  </r>
  <r>
    <s v="ORD-01143"/>
    <d v="2025-12-13T00:00:00"/>
    <s v="CUST-0225"/>
    <x v="8"/>
    <x v="0"/>
    <x v="0"/>
    <n v="4"/>
    <n v="0"/>
    <x v="25"/>
    <n v="61.1"/>
  </r>
  <r>
    <s v="ORD-01144"/>
    <d v="2025-12-13T00:00:00"/>
    <s v="CUST-0090"/>
    <x v="6"/>
    <x v="2"/>
    <x v="0"/>
    <n v="1"/>
    <n v="0.1"/>
    <x v="56"/>
    <n v="54.04"/>
  </r>
  <r>
    <s v="ORD-01145"/>
    <d v="2025-12-14T00:00:00"/>
    <s v="CUST-0215"/>
    <x v="4"/>
    <x v="2"/>
    <x v="0"/>
    <n v="1"/>
    <n v="0.1"/>
    <x v="34"/>
    <n v="81.92"/>
  </r>
  <r>
    <s v="ORD-01146"/>
    <d v="2025-12-14T00:00:00"/>
    <s v="CUST-0283"/>
    <x v="2"/>
    <x v="1"/>
    <x v="1"/>
    <n v="2"/>
    <n v="0"/>
    <x v="151"/>
    <n v="136.18"/>
  </r>
  <r>
    <s v="ORD-01147"/>
    <d v="2025-12-14T00:00:00"/>
    <s v="CUST-0087"/>
    <x v="5"/>
    <x v="2"/>
    <x v="1"/>
    <n v="1"/>
    <n v="0.15"/>
    <x v="139"/>
    <n v="8.48"/>
  </r>
  <r>
    <s v="ORD-01148"/>
    <d v="2025-12-15T00:00:00"/>
    <s v="CUST-0006"/>
    <x v="7"/>
    <x v="3"/>
    <x v="0"/>
    <n v="4"/>
    <n v="0.05"/>
    <x v="19"/>
    <n v="8.4600000000000009"/>
  </r>
  <r>
    <s v="ORD-01149"/>
    <d v="2025-12-15T00:00:00"/>
    <s v="CUST-0087"/>
    <x v="7"/>
    <x v="3"/>
    <x v="1"/>
    <n v="5"/>
    <n v="0.15"/>
    <x v="48"/>
    <n v="3.57"/>
  </r>
  <r>
    <s v="ORD-01150"/>
    <d v="2025-12-15T00:00:00"/>
    <s v="CUST-0212"/>
    <x v="8"/>
    <x v="0"/>
    <x v="0"/>
    <n v="5"/>
    <n v="0.05"/>
    <x v="38"/>
    <n v="31.49"/>
  </r>
  <r>
    <s v="ORD-01151"/>
    <d v="2025-12-16T00:00:00"/>
    <s v="CUST-0237"/>
    <x v="3"/>
    <x v="2"/>
    <x v="1"/>
    <n v="1"/>
    <n v="0.05"/>
    <x v="27"/>
    <n v="210.21"/>
  </r>
  <r>
    <s v="ORD-01152"/>
    <d v="2025-12-16T00:00:00"/>
    <s v="CUST-0024"/>
    <x v="6"/>
    <x v="2"/>
    <x v="3"/>
    <n v="3"/>
    <n v="0.1"/>
    <x v="110"/>
    <n v="176.27"/>
  </r>
  <r>
    <s v="ORD-01153"/>
    <d v="2025-12-16T00:00:00"/>
    <s v="CUST-0016"/>
    <x v="7"/>
    <x v="3"/>
    <x v="3"/>
    <n v="3"/>
    <n v="0.2"/>
    <x v="105"/>
    <n v="3.25"/>
  </r>
  <r>
    <s v="ORD-01154"/>
    <d v="2025-12-17T00:00:00"/>
    <s v="CUST-0249"/>
    <x v="3"/>
    <x v="2"/>
    <x v="1"/>
    <n v="3"/>
    <n v="0"/>
    <x v="170"/>
    <n v="679.86"/>
  </r>
  <r>
    <s v="ORD-01155"/>
    <d v="2025-12-17T00:00:00"/>
    <s v="CUST-0075"/>
    <x v="3"/>
    <x v="2"/>
    <x v="1"/>
    <n v="2"/>
    <n v="0.05"/>
    <x v="179"/>
    <n v="312.52999999999997"/>
  </r>
  <r>
    <s v="ORD-01156"/>
    <d v="2025-12-17T00:00:00"/>
    <s v="CUST-0039"/>
    <x v="5"/>
    <x v="2"/>
    <x v="3"/>
    <n v="1"/>
    <n v="0.05"/>
    <x v="102"/>
    <n v="17.37"/>
  </r>
  <r>
    <s v="ORD-01157"/>
    <d v="2025-12-17T00:00:00"/>
    <s v="CUST-0079"/>
    <x v="0"/>
    <x v="0"/>
    <x v="1"/>
    <n v="1"/>
    <n v="0.15"/>
    <x v="186"/>
    <n v="11.51"/>
  </r>
  <r>
    <s v="ORD-01158"/>
    <d v="2025-12-18T00:00:00"/>
    <s v="CUST-0288"/>
    <x v="6"/>
    <x v="2"/>
    <x v="2"/>
    <n v="4"/>
    <n v="0.1"/>
    <x v="166"/>
    <n v="137.47999999999999"/>
  </r>
  <r>
    <s v="ORD-01159"/>
    <d v="2025-12-18T00:00:00"/>
    <s v="CUST-0036"/>
    <x v="3"/>
    <x v="2"/>
    <x v="0"/>
    <n v="4"/>
    <n v="0"/>
    <x v="53"/>
    <n v="830.06"/>
  </r>
  <r>
    <s v="ORD-01160"/>
    <d v="2025-12-18T00:00:00"/>
    <s v="CUST-0128"/>
    <x v="0"/>
    <x v="0"/>
    <x v="3"/>
    <n v="1"/>
    <n v="0.1"/>
    <x v="66"/>
    <n v="9.75"/>
  </r>
  <r>
    <s v="ORD-01161"/>
    <d v="2025-12-19T00:00:00"/>
    <s v="CUST-0164"/>
    <x v="8"/>
    <x v="0"/>
    <x v="2"/>
    <n v="3"/>
    <n v="0.1"/>
    <x v="126"/>
    <n v="15.12"/>
  </r>
  <r>
    <s v="ORD-01162"/>
    <d v="2025-12-19T00:00:00"/>
    <s v="CUST-0169"/>
    <x v="1"/>
    <x v="1"/>
    <x v="1"/>
    <n v="4"/>
    <n v="0.15"/>
    <x v="68"/>
    <n v="114.61"/>
  </r>
  <r>
    <s v="ORD-01163"/>
    <d v="2025-12-19T00:00:00"/>
    <s v="CUST-0103"/>
    <x v="8"/>
    <x v="0"/>
    <x v="3"/>
    <n v="2"/>
    <n v="0.1"/>
    <x v="86"/>
    <n v="12.91"/>
  </r>
  <r>
    <s v="ORD-01164"/>
    <d v="2025-12-20T00:00:00"/>
    <s v="CUST-0188"/>
    <x v="0"/>
    <x v="0"/>
    <x v="3"/>
    <n v="5"/>
    <n v="0"/>
    <x v="61"/>
    <n v="79.44"/>
  </r>
  <r>
    <s v="ORD-01165"/>
    <d v="2025-12-20T00:00:00"/>
    <s v="CUST-0002"/>
    <x v="4"/>
    <x v="2"/>
    <x v="2"/>
    <n v="1"/>
    <n v="0.05"/>
    <x v="18"/>
    <n v="130.83000000000001"/>
  </r>
  <r>
    <s v="ORD-01166"/>
    <d v="2025-12-20T00:00:00"/>
    <s v="CUST-0002"/>
    <x v="3"/>
    <x v="2"/>
    <x v="3"/>
    <n v="3"/>
    <n v="0"/>
    <x v="170"/>
    <n v="689.6"/>
  </r>
  <r>
    <s v="ORD-01167"/>
    <d v="2025-12-20T00:00:00"/>
    <s v="CUST-0140"/>
    <x v="6"/>
    <x v="2"/>
    <x v="0"/>
    <n v="3"/>
    <n v="0.15"/>
    <x v="68"/>
    <n v="47.94"/>
  </r>
  <r>
    <s v="ORD-01168"/>
    <d v="2025-12-21T00:00:00"/>
    <s v="CUST-0106"/>
    <x v="0"/>
    <x v="0"/>
    <x v="2"/>
    <n v="4"/>
    <n v="0.05"/>
    <x v="3"/>
    <n v="39.07"/>
  </r>
  <r>
    <s v="ORD-01169"/>
    <d v="2025-12-21T00:00:00"/>
    <s v="CUST-0137"/>
    <x v="7"/>
    <x v="3"/>
    <x v="0"/>
    <n v="3"/>
    <n v="0"/>
    <x v="30"/>
    <n v="4.92"/>
  </r>
  <r>
    <s v="ORD-01170"/>
    <d v="2025-12-21T00:00:00"/>
    <s v="CUST-0185"/>
    <x v="3"/>
    <x v="2"/>
    <x v="0"/>
    <n v="4"/>
    <n v="0"/>
    <x v="53"/>
    <n v="848.64"/>
  </r>
  <r>
    <s v="ORD-01171"/>
    <d v="2025-12-22T00:00:00"/>
    <s v="CUST-0157"/>
    <x v="5"/>
    <x v="2"/>
    <x v="3"/>
    <n v="1"/>
    <n v="0.05"/>
    <x v="102"/>
    <n v="14.89"/>
  </r>
  <r>
    <s v="ORD-01172"/>
    <d v="2025-12-22T00:00:00"/>
    <s v="CUST-0231"/>
    <x v="1"/>
    <x v="1"/>
    <x v="2"/>
    <n v="2"/>
    <n v="0.05"/>
    <x v="73"/>
    <n v="111.92"/>
  </r>
  <r>
    <s v="ORD-01173"/>
    <d v="2025-12-22T00:00:00"/>
    <s v="CUST-0102"/>
    <x v="4"/>
    <x v="2"/>
    <x v="0"/>
    <n v="3"/>
    <n v="0.15"/>
    <x v="13"/>
    <n v="292.81"/>
  </r>
  <r>
    <s v="ORD-01174"/>
    <d v="2025-12-23T00:00:00"/>
    <s v="CUST-0112"/>
    <x v="7"/>
    <x v="3"/>
    <x v="0"/>
    <n v="2"/>
    <n v="0.2"/>
    <x v="130"/>
    <n v="2.31"/>
  </r>
  <r>
    <s v="ORD-01175"/>
    <d v="2025-12-23T00:00:00"/>
    <s v="CUST-0092"/>
    <x v="6"/>
    <x v="2"/>
    <x v="2"/>
    <n v="5"/>
    <n v="0.05"/>
    <x v="190"/>
    <n v="236.91"/>
  </r>
  <r>
    <s v="ORD-01176"/>
    <d v="2025-12-23T00:00:00"/>
    <s v="CUST-0069"/>
    <x v="2"/>
    <x v="1"/>
    <x v="3"/>
    <n v="4"/>
    <n v="0.15"/>
    <x v="49"/>
    <n v="91.49"/>
  </r>
  <r>
    <s v="ORD-01177"/>
    <d v="2025-12-24T00:00:00"/>
    <s v="CUST-0030"/>
    <x v="6"/>
    <x v="2"/>
    <x v="1"/>
    <n v="2"/>
    <n v="0"/>
    <x v="123"/>
    <n v="153.66"/>
  </r>
  <r>
    <s v="ORD-01178"/>
    <d v="2025-12-24T00:00:00"/>
    <s v="CUST-0062"/>
    <x v="4"/>
    <x v="2"/>
    <x v="3"/>
    <n v="2"/>
    <n v="0.05"/>
    <x v="107"/>
    <n v="312.32"/>
  </r>
  <r>
    <s v="ORD-01179"/>
    <d v="2025-12-24T00:00:00"/>
    <s v="CUST-0163"/>
    <x v="1"/>
    <x v="1"/>
    <x v="3"/>
    <n v="1"/>
    <n v="0.1"/>
    <x v="70"/>
    <n v="17.78"/>
  </r>
  <r>
    <s v="ORD-01180"/>
    <d v="2025-12-24T00:00:00"/>
    <s v="CUST-0172"/>
    <x v="0"/>
    <x v="0"/>
    <x v="2"/>
    <n v="1"/>
    <n v="0"/>
    <x v="112"/>
    <n v="19.32"/>
  </r>
  <r>
    <s v="ORD-01181"/>
    <d v="2025-12-25T00:00:00"/>
    <s v="CUST-0106"/>
    <x v="5"/>
    <x v="2"/>
    <x v="2"/>
    <n v="2"/>
    <n v="0.05"/>
    <x v="7"/>
    <n v="37.340000000000003"/>
  </r>
  <r>
    <s v="ORD-01182"/>
    <d v="2025-12-25T00:00:00"/>
    <s v="CUST-0286"/>
    <x v="7"/>
    <x v="3"/>
    <x v="3"/>
    <n v="3"/>
    <n v="0.05"/>
    <x v="135"/>
    <n v="4.3099999999999996"/>
  </r>
  <r>
    <s v="ORD-01183"/>
    <d v="2025-12-25T00:00:00"/>
    <s v="CUST-0126"/>
    <x v="8"/>
    <x v="0"/>
    <x v="2"/>
    <n v="3"/>
    <n v="0.2"/>
    <x v="164"/>
    <n v="11.49"/>
  </r>
  <r>
    <s v="ORD-01184"/>
    <d v="2025-12-26T00:00:00"/>
    <s v="CUST-0204"/>
    <x v="2"/>
    <x v="1"/>
    <x v="0"/>
    <n v="3"/>
    <n v="0.05"/>
    <x v="115"/>
    <n v="100.19"/>
  </r>
  <r>
    <s v="ORD-01185"/>
    <d v="2025-12-26T00:00:00"/>
    <s v="CUST-0146"/>
    <x v="1"/>
    <x v="1"/>
    <x v="0"/>
    <n v="2"/>
    <n v="0"/>
    <x v="10"/>
    <n v="71.260000000000005"/>
  </r>
  <r>
    <s v="ORD-01186"/>
    <d v="2025-12-26T00:00:00"/>
    <s v="CUST-0187"/>
    <x v="1"/>
    <x v="1"/>
    <x v="1"/>
    <n v="4"/>
    <n v="0"/>
    <x v="9"/>
    <n v="147.81"/>
  </r>
  <r>
    <s v="ORD-01187"/>
    <d v="2025-12-27T00:00:00"/>
    <s v="CUST-0264"/>
    <x v="5"/>
    <x v="2"/>
    <x v="1"/>
    <n v="3"/>
    <n v="0.1"/>
    <x v="56"/>
    <n v="51.84"/>
  </r>
  <r>
    <s v="ORD-01188"/>
    <d v="2025-12-27T00:00:00"/>
    <s v="CUST-0275"/>
    <x v="6"/>
    <x v="2"/>
    <x v="0"/>
    <n v="1"/>
    <n v="0"/>
    <x v="76"/>
    <n v="56.77"/>
  </r>
  <r>
    <s v="ORD-01189"/>
    <d v="2025-12-27T00:00:00"/>
    <s v="CUST-0026"/>
    <x v="9"/>
    <x v="0"/>
    <x v="3"/>
    <n v="3"/>
    <n v="0"/>
    <x v="106"/>
    <n v="33.840000000000003"/>
  </r>
  <r>
    <s v="ORD-01190"/>
    <d v="2025-12-27T00:00:00"/>
    <s v="CUST-0169"/>
    <x v="4"/>
    <x v="2"/>
    <x v="0"/>
    <n v="2"/>
    <n v="0"/>
    <x v="117"/>
    <n v="295.45999999999998"/>
  </r>
  <r>
    <s v="ORD-01191"/>
    <d v="2025-12-28T00:00:00"/>
    <s v="CUST-0279"/>
    <x v="4"/>
    <x v="2"/>
    <x v="3"/>
    <n v="5"/>
    <n v="0.1"/>
    <x v="147"/>
    <n v="583.49"/>
  </r>
  <r>
    <s v="ORD-01192"/>
    <d v="2025-12-28T00:00:00"/>
    <s v="CUST-0177"/>
    <x v="7"/>
    <x v="3"/>
    <x v="1"/>
    <n v="4"/>
    <n v="0.05"/>
    <x v="19"/>
    <n v="7.74"/>
  </r>
  <r>
    <s v="ORD-01193"/>
    <d v="2025-12-28T00:00:00"/>
    <s v="CUST-0235"/>
    <x v="2"/>
    <x v="1"/>
    <x v="1"/>
    <n v="5"/>
    <n v="0"/>
    <x v="55"/>
    <n v="298.93"/>
  </r>
  <r>
    <s v="ORD-01194"/>
    <d v="2025-12-29T00:00:00"/>
    <s v="CUST-0039"/>
    <x v="5"/>
    <x v="2"/>
    <x v="0"/>
    <n v="5"/>
    <n v="0.1"/>
    <x v="10"/>
    <n v="83.3"/>
  </r>
  <r>
    <s v="ORD-01195"/>
    <d v="2025-12-29T00:00:00"/>
    <s v="CUST-0134"/>
    <x v="7"/>
    <x v="3"/>
    <x v="1"/>
    <n v="1"/>
    <n v="0"/>
    <x v="120"/>
    <n v="2.57"/>
  </r>
  <r>
    <s v="ORD-01196"/>
    <d v="2025-12-29T00:00:00"/>
    <s v="CUST-0072"/>
    <x v="5"/>
    <x v="2"/>
    <x v="2"/>
    <n v="2"/>
    <n v="0.1"/>
    <x v="81"/>
    <n v="26.04"/>
  </r>
  <r>
    <s v="ORD-01197"/>
    <d v="2025-12-30T00:00:00"/>
    <s v="CUST-0070"/>
    <x v="7"/>
    <x v="3"/>
    <x v="1"/>
    <n v="1"/>
    <n v="0.05"/>
    <x v="87"/>
    <n v="2.25"/>
  </r>
  <r>
    <s v="ORD-01198"/>
    <d v="2025-12-30T00:00:00"/>
    <s v="CUST-0278"/>
    <x v="8"/>
    <x v="0"/>
    <x v="3"/>
    <n v="2"/>
    <n v="0.1"/>
    <x v="86"/>
    <n v="13.83"/>
  </r>
  <r>
    <s v="ORD-01199"/>
    <d v="2025-12-30T00:00:00"/>
    <s v="CUST-0183"/>
    <x v="0"/>
    <x v="0"/>
    <x v="3"/>
    <n v="2"/>
    <n v="0.2"/>
    <x v="101"/>
    <n v="9.7100000000000009"/>
  </r>
  <r>
    <s v="ORD-01200"/>
    <d v="2025-12-31T00:00:00"/>
    <s v="CUST-0051"/>
    <x v="6"/>
    <x v="2"/>
    <x v="1"/>
    <n v="4"/>
    <n v="0.05"/>
    <x v="20"/>
    <n v="138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2AC74-BD57-454F-89F4-99229F1E68C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0" firstDataRow="1" firstDataCol="1"/>
  <pivotFields count="10">
    <pivotField showAll="0"/>
    <pivotField numFmtId="22" showAll="0"/>
    <pivotField showAll="0"/>
    <pivotField showAll="0"/>
    <pivotField showAll="0"/>
    <pivotField axis="axisRow" showAll="0" sortType="ascending">
      <items count="5">
        <item x="3"/>
        <item x="0"/>
        <item x="1"/>
        <item x="2"/>
        <item t="default"/>
      </items>
    </pivotField>
    <pivotField dataField="1" showAll="0"/>
    <pivotField showAll="0"/>
    <pivotField dataField="1"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8" baseField="0" baseItem="0"/>
    <dataField name="Sum of Quantity" fld="6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FED43-ECFC-4AEB-90BE-583260DF8A4E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K10" firstHeaderRow="1" firstDataRow="3" firstDataCol="1"/>
  <pivotFields count="10">
    <pivotField showAll="0"/>
    <pivotField numFmtId="22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5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ales" fld="8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FB76C-CC37-40DD-B6FA-CF27C2E210C9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4" firstHeaderRow="0" firstDataRow="1" firstDataCol="1" rowPageCount="1" colPageCount="1"/>
  <pivotFields count="10">
    <pivotField showAll="0"/>
    <pivotField numFmtId="22" showAll="0"/>
    <pivotField showAll="0"/>
    <pivotField axis="axisRow" showAll="0" sortType="descending">
      <items count="11">
        <item x="8"/>
        <item x="2"/>
        <item x="5"/>
        <item x="0"/>
        <item x="3"/>
        <item x="6"/>
        <item x="9"/>
        <item x="7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axis="axisPage" dataField="1" showAll="0">
      <items count="199">
        <item x="178"/>
        <item x="181"/>
        <item x="47"/>
        <item x="87"/>
        <item x="120"/>
        <item x="130"/>
        <item x="159"/>
        <item x="197"/>
        <item x="45"/>
        <item x="58"/>
        <item x="105"/>
        <item x="92"/>
        <item x="132"/>
        <item x="135"/>
        <item x="30"/>
        <item x="109"/>
        <item x="69"/>
        <item x="29"/>
        <item x="98"/>
        <item x="153"/>
        <item x="188"/>
        <item x="90"/>
        <item x="19"/>
        <item x="103"/>
        <item x="48"/>
        <item x="93"/>
        <item x="114"/>
        <item x="168"/>
        <item x="51"/>
        <item x="52"/>
        <item x="22"/>
        <item x="158"/>
        <item x="172"/>
        <item x="186"/>
        <item x="192"/>
        <item x="66"/>
        <item x="85"/>
        <item x="156"/>
        <item x="44"/>
        <item x="112"/>
        <item x="65"/>
        <item x="167"/>
        <item x="180"/>
        <item x="139"/>
        <item x="88"/>
        <item x="102"/>
        <item x="96"/>
        <item x="171"/>
        <item x="86"/>
        <item x="75"/>
        <item x="101"/>
        <item x="106"/>
        <item x="185"/>
        <item x="173"/>
        <item x="23"/>
        <item x="191"/>
        <item x="78"/>
        <item x="164"/>
        <item x="1"/>
        <item x="83"/>
        <item x="148"/>
        <item x="72"/>
        <item x="126"/>
        <item x="118"/>
        <item x="128"/>
        <item x="174"/>
        <item x="116"/>
        <item x="26"/>
        <item x="150"/>
        <item x="131"/>
        <item x="104"/>
        <item x="81"/>
        <item x="17"/>
        <item x="154"/>
        <item x="7"/>
        <item x="163"/>
        <item x="187"/>
        <item x="111"/>
        <item x="70"/>
        <item x="184"/>
        <item x="136"/>
        <item x="0"/>
        <item x="25"/>
        <item x="137"/>
        <item x="122"/>
        <item x="145"/>
        <item x="39"/>
        <item x="182"/>
        <item x="97"/>
        <item x="3"/>
        <item x="38"/>
        <item x="56"/>
        <item x="50"/>
        <item x="89"/>
        <item x="134"/>
        <item x="142"/>
        <item x="76"/>
        <item x="15"/>
        <item x="46"/>
        <item x="79"/>
        <item x="61"/>
        <item x="82"/>
        <item x="129"/>
        <item x="99"/>
        <item x="127"/>
        <item x="8"/>
        <item x="113"/>
        <item x="73"/>
        <item x="160"/>
        <item x="10"/>
        <item x="80"/>
        <item x="108"/>
        <item x="155"/>
        <item x="146"/>
        <item x="57"/>
        <item x="64"/>
        <item x="124"/>
        <item x="193"/>
        <item x="33"/>
        <item x="151"/>
        <item x="34"/>
        <item x="119"/>
        <item x="183"/>
        <item x="18"/>
        <item x="123"/>
        <item x="28"/>
        <item x="40"/>
        <item x="157"/>
        <item x="161"/>
        <item x="2"/>
        <item x="169"/>
        <item x="63"/>
        <item x="125"/>
        <item x="94"/>
        <item x="41"/>
        <item x="68"/>
        <item x="27"/>
        <item x="115"/>
        <item x="110"/>
        <item x="176"/>
        <item x="149"/>
        <item x="31"/>
        <item x="9"/>
        <item x="49"/>
        <item x="62"/>
        <item x="133"/>
        <item x="195"/>
        <item x="152"/>
        <item x="14"/>
        <item x="36"/>
        <item x="141"/>
        <item x="143"/>
        <item x="166"/>
        <item x="138"/>
        <item x="43"/>
        <item x="20"/>
        <item x="32"/>
        <item x="107"/>
        <item x="59"/>
        <item x="140"/>
        <item x="117"/>
        <item x="11"/>
        <item x="77"/>
        <item x="165"/>
        <item x="21"/>
        <item x="55"/>
        <item x="84"/>
        <item x="190"/>
        <item x="24"/>
        <item x="95"/>
        <item x="179"/>
        <item x="13"/>
        <item x="162"/>
        <item x="100"/>
        <item x="67"/>
        <item x="175"/>
        <item x="194"/>
        <item x="91"/>
        <item x="42"/>
        <item x="4"/>
        <item x="5"/>
        <item x="60"/>
        <item x="144"/>
        <item x="170"/>
        <item x="16"/>
        <item x="177"/>
        <item x="196"/>
        <item x="121"/>
        <item x="147"/>
        <item x="37"/>
        <item x="6"/>
        <item x="12"/>
        <item x="35"/>
        <item x="53"/>
        <item x="74"/>
        <item x="71"/>
        <item x="54"/>
        <item x="189"/>
        <item t="default"/>
      </items>
    </pivotField>
    <pivotField dataField="1" showAll="0"/>
  </pivotFields>
  <rowFields count="1">
    <field x="3"/>
  </rowFields>
  <rowItems count="11">
    <i>
      <x v="4"/>
    </i>
    <i>
      <x v="9"/>
    </i>
    <i>
      <x v="5"/>
    </i>
    <i>
      <x v="1"/>
    </i>
    <i>
      <x v="8"/>
    </i>
    <i>
      <x v="2"/>
    </i>
    <i>
      <x v="3"/>
    </i>
    <i>
      <x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Sum of Sales" fld="8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30575B-29C1-42C5-B5EE-D8AD1C5E1596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Order_Date" tableColumnId="2"/>
      <queryTableField id="3" name="Customer_ID" tableColumnId="3"/>
      <queryTableField id="4" name="Product" tableColumnId="4"/>
      <queryTableField id="5" name="Category" tableColumnId="5"/>
      <queryTableField id="6" name="Region" tableColumnId="6"/>
      <queryTableField id="7" name="Quantity" tableColumnId="7"/>
      <queryTableField id="8" name="Discount" tableColumnId="8"/>
      <queryTableField id="9" name="Sales" tableColumnId="9"/>
      <queryTableField id="10" name="Profi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D13FA-6699-4325-9F10-F78F081C60C0}" name="ecommerce_sales" displayName="ecommerce_sales" ref="A1:J1201" tableType="queryTable" totalsRowShown="0">
  <autoFilter ref="A1:J1201" xr:uid="{866B5775-BF43-40F1-B5B8-9AE592077471}"/>
  <tableColumns count="10">
    <tableColumn id="1" xr3:uid="{6D1DA06A-C959-40B9-9B1F-9B37D33C12B2}" uniqueName="1" name="Order_ID" queryTableFieldId="1"/>
    <tableColumn id="2" xr3:uid="{80BACF43-6648-4A98-9E9B-BBBBF8E3176A}" uniqueName="2" name="Order_Date" queryTableFieldId="2" dataDxfId="0"/>
    <tableColumn id="3" xr3:uid="{802DD210-A267-4193-B133-D1813CB2CECD}" uniqueName="3" name="Customer_ID" queryTableFieldId="3"/>
    <tableColumn id="4" xr3:uid="{43FBB9BA-D734-4BC4-9349-AEF49F536B6B}" uniqueName="4" name="Product" queryTableFieldId="4"/>
    <tableColumn id="5" xr3:uid="{0A3CB638-9B42-4474-ACE1-A5CE04EAC9C3}" uniqueName="5" name="Category" queryTableFieldId="5"/>
    <tableColumn id="6" xr3:uid="{41DC0365-DB4C-4C28-A098-0F8229147B9B}" uniqueName="6" name="Region" queryTableFieldId="6"/>
    <tableColumn id="7" xr3:uid="{AD658E08-2CED-4FCA-A201-2102BE1BA0C6}" uniqueName="7" name="Quantity" queryTableFieldId="7"/>
    <tableColumn id="8" xr3:uid="{6037B5DA-7A3D-4664-B81C-ADB2E3355B0A}" uniqueName="8" name="Discount" queryTableFieldId="8"/>
    <tableColumn id="9" xr3:uid="{53597EC9-D626-482B-A003-BE3DBAE39D03}" uniqueName="9" name="Sales" queryTableFieldId="9"/>
    <tableColumn id="10" xr3:uid="{5C18A0A9-6E3E-4196-9FE4-58BA2B819A15}" uniqueName="10" name="Profi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0A1E-ADEF-41B2-9EFB-B5A7A7801F17}">
  <dimension ref="A3:H13"/>
  <sheetViews>
    <sheetView workbookViewId="0">
      <selection activeCell="J8" sqref="J8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5.42578125" bestFit="1" customWidth="1"/>
    <col min="4" max="4" width="12.5703125" bestFit="1" customWidth="1"/>
    <col min="5" max="5" width="14.28515625" customWidth="1"/>
  </cols>
  <sheetData>
    <row r="3" spans="1:8" x14ac:dyDescent="0.25">
      <c r="A3" s="2" t="s">
        <v>1523</v>
      </c>
      <c r="B3" t="s">
        <v>1525</v>
      </c>
      <c r="C3" t="s">
        <v>1527</v>
      </c>
      <c r="D3" t="s">
        <v>1526</v>
      </c>
      <c r="E3" s="8" t="s">
        <v>1532</v>
      </c>
      <c r="H3" s="7" t="s">
        <v>1536</v>
      </c>
    </row>
    <row r="4" spans="1:8" x14ac:dyDescent="0.25">
      <c r="A4" s="3" t="s">
        <v>38</v>
      </c>
      <c r="B4" s="4">
        <v>138981.75000000003</v>
      </c>
      <c r="C4" s="4">
        <v>863</v>
      </c>
      <c r="D4" s="4">
        <v>28998.510000000009</v>
      </c>
      <c r="E4" s="6">
        <f>GETPIVOTDATA("Sum of Profit",$A3,"Region","East")/GETPIVOTDATA("Sum of Sales",$A3,"Region","East")</f>
        <v>0.208649768764604</v>
      </c>
      <c r="H4" t="s">
        <v>1533</v>
      </c>
    </row>
    <row r="5" spans="1:8" x14ac:dyDescent="0.25">
      <c r="A5" s="3" t="s">
        <v>14</v>
      </c>
      <c r="B5" s="4">
        <v>175154.8</v>
      </c>
      <c r="C5" s="4">
        <v>891</v>
      </c>
      <c r="D5" s="4">
        <v>38840.809999999983</v>
      </c>
      <c r="E5" s="6">
        <f>GETPIVOTDATA("Sum of Profit",$A$3,"Region","North")/GETPIVOTDATA("Sum of Sales",$A$3,"Region","North")</f>
        <v>0.22175133082279211</v>
      </c>
      <c r="H5" t="s">
        <v>1534</v>
      </c>
    </row>
    <row r="6" spans="1:8" x14ac:dyDescent="0.25">
      <c r="A6" s="3" t="s">
        <v>21</v>
      </c>
      <c r="B6" s="4">
        <v>165151.75</v>
      </c>
      <c r="C6" s="4">
        <v>911</v>
      </c>
      <c r="D6" s="4">
        <v>36502.140000000007</v>
      </c>
      <c r="E6" s="6">
        <f>GETPIVOTDATA("Sum of Profit",$A$3,"Region","South")/GETPIVOTDATA("Sum of Sales",$A$3,"Region","South")</f>
        <v>0.22102181781301142</v>
      </c>
      <c r="H6" t="s">
        <v>1535</v>
      </c>
    </row>
    <row r="7" spans="1:8" x14ac:dyDescent="0.25">
      <c r="A7" s="3" t="s">
        <v>29</v>
      </c>
      <c r="B7" s="4">
        <v>184593.95</v>
      </c>
      <c r="C7" s="4">
        <v>942</v>
      </c>
      <c r="D7" s="4">
        <v>39389.310000000005</v>
      </c>
      <c r="E7" s="6">
        <f>GETPIVOTDATA("Sum of Profit",$A$3,"Region","West")/GETPIVOTDATA("Sum of Sales",$A$3,"Region","West")</f>
        <v>0.21338353721776906</v>
      </c>
    </row>
    <row r="8" spans="1:8" x14ac:dyDescent="0.25">
      <c r="A8" s="3" t="s">
        <v>1524</v>
      </c>
      <c r="B8" s="4">
        <v>663882.25</v>
      </c>
      <c r="C8" s="4">
        <v>3607</v>
      </c>
      <c r="D8" s="4">
        <v>143730.76999999999</v>
      </c>
      <c r="E8" s="5">
        <f>SUM(E4:E7)</f>
        <v>0.86480645461817662</v>
      </c>
    </row>
    <row r="10" spans="1:8" x14ac:dyDescent="0.25">
      <c r="A10" s="3" t="s">
        <v>1531</v>
      </c>
    </row>
    <row r="11" spans="1:8" x14ac:dyDescent="0.25">
      <c r="A11" s="3" t="s">
        <v>1528</v>
      </c>
    </row>
    <row r="12" spans="1:8" x14ac:dyDescent="0.25">
      <c r="A12" s="3" t="s">
        <v>1529</v>
      </c>
    </row>
    <row r="13" spans="1:8" x14ac:dyDescent="0.25">
      <c r="A13" s="3" t="s">
        <v>1530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46E7-1982-4DAF-ACCC-DA55E541D36D}">
  <dimension ref="A3:K16"/>
  <sheetViews>
    <sheetView workbookViewId="0">
      <selection activeCell="B17" sqref="B1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2.5703125" bestFit="1" customWidth="1"/>
    <col min="4" max="4" width="12.140625" bestFit="1" customWidth="1"/>
    <col min="5" max="5" width="12.5703125" bestFit="1" customWidth="1"/>
    <col min="6" max="6" width="12.140625" bestFit="1" customWidth="1"/>
    <col min="7" max="7" width="12.5703125" bestFit="1" customWidth="1"/>
    <col min="8" max="8" width="12.140625" bestFit="1" customWidth="1"/>
    <col min="9" max="9" width="12.5703125" bestFit="1" customWidth="1"/>
    <col min="10" max="10" width="17.28515625" bestFit="1" customWidth="1"/>
    <col min="11" max="11" width="17.7109375" bestFit="1" customWidth="1"/>
    <col min="12" max="14" width="11.140625" bestFit="1" customWidth="1"/>
    <col min="15" max="15" width="14.28515625" bestFit="1" customWidth="1"/>
    <col min="16" max="19" width="12" bestFit="1" customWidth="1"/>
    <col min="20" max="20" width="15.140625" bestFit="1" customWidth="1"/>
    <col min="21" max="21" width="11.28515625" bestFit="1" customWidth="1"/>
  </cols>
  <sheetData>
    <row r="3" spans="1:11" x14ac:dyDescent="0.25">
      <c r="B3" s="2" t="s">
        <v>1537</v>
      </c>
    </row>
    <row r="4" spans="1:11" x14ac:dyDescent="0.25">
      <c r="B4" t="s">
        <v>38</v>
      </c>
      <c r="D4" t="s">
        <v>14</v>
      </c>
      <c r="F4" t="s">
        <v>21</v>
      </c>
      <c r="H4" t="s">
        <v>29</v>
      </c>
      <c r="J4" t="s">
        <v>1538</v>
      </c>
      <c r="K4" t="s">
        <v>1539</v>
      </c>
    </row>
    <row r="5" spans="1:11" x14ac:dyDescent="0.25">
      <c r="A5" s="2" t="s">
        <v>1523</v>
      </c>
      <c r="B5" t="s">
        <v>1525</v>
      </c>
      <c r="C5" t="s">
        <v>1526</v>
      </c>
      <c r="D5" t="s">
        <v>1525</v>
      </c>
      <c r="E5" t="s">
        <v>1526</v>
      </c>
      <c r="F5" t="s">
        <v>1525</v>
      </c>
      <c r="G5" t="s">
        <v>1526</v>
      </c>
      <c r="H5" t="s">
        <v>1525</v>
      </c>
      <c r="I5" t="s">
        <v>1526</v>
      </c>
    </row>
    <row r="6" spans="1:11" x14ac:dyDescent="0.25">
      <c r="A6" s="3" t="s">
        <v>13</v>
      </c>
      <c r="B6" s="4">
        <v>11617.75</v>
      </c>
      <c r="C6" s="4">
        <v>2584.5099999999998</v>
      </c>
      <c r="D6" s="4">
        <v>11243</v>
      </c>
      <c r="E6" s="4">
        <v>2478.329999999999</v>
      </c>
      <c r="F6" s="4">
        <v>9908.75</v>
      </c>
      <c r="G6" s="4">
        <v>2117.3599999999997</v>
      </c>
      <c r="H6" s="4">
        <v>10477.25</v>
      </c>
      <c r="I6" s="4">
        <v>2319.3500000000008</v>
      </c>
      <c r="J6" s="4">
        <v>43246.75</v>
      </c>
      <c r="K6" s="4">
        <v>9499.5499999999993</v>
      </c>
    </row>
    <row r="7" spans="1:11" x14ac:dyDescent="0.25">
      <c r="A7" s="3" t="s">
        <v>28</v>
      </c>
      <c r="B7" s="4">
        <v>95516</v>
      </c>
      <c r="C7" s="4">
        <v>19824.219999999998</v>
      </c>
      <c r="D7" s="4">
        <v>135459</v>
      </c>
      <c r="E7" s="4">
        <v>29800.15</v>
      </c>
      <c r="F7" s="4">
        <v>115753</v>
      </c>
      <c r="G7" s="4">
        <v>25275.450000000012</v>
      </c>
      <c r="H7" s="4">
        <v>134936.5</v>
      </c>
      <c r="I7" s="4">
        <v>28576.120000000003</v>
      </c>
      <c r="J7" s="4">
        <v>481664.5</v>
      </c>
      <c r="K7" s="4">
        <v>103475.94</v>
      </c>
    </row>
    <row r="8" spans="1:11" x14ac:dyDescent="0.25">
      <c r="A8" s="3" t="s">
        <v>20</v>
      </c>
      <c r="B8" s="4">
        <v>31210</v>
      </c>
      <c r="C8" s="4">
        <v>6480.9699999999993</v>
      </c>
      <c r="D8" s="4">
        <v>27776</v>
      </c>
      <c r="E8" s="4">
        <v>6396.6999999999989</v>
      </c>
      <c r="F8" s="4">
        <v>38570</v>
      </c>
      <c r="G8" s="4">
        <v>8903.1</v>
      </c>
      <c r="H8" s="4">
        <v>38589</v>
      </c>
      <c r="I8" s="4">
        <v>8378.9399999999987</v>
      </c>
      <c r="J8" s="4">
        <v>136145</v>
      </c>
      <c r="K8" s="4">
        <v>30159.709999999995</v>
      </c>
    </row>
    <row r="9" spans="1:11" x14ac:dyDescent="0.25">
      <c r="A9" s="3" t="s">
        <v>74</v>
      </c>
      <c r="B9" s="4">
        <v>638.00000000000023</v>
      </c>
      <c r="C9" s="4">
        <v>108.81</v>
      </c>
      <c r="D9" s="4">
        <v>676.8</v>
      </c>
      <c r="E9" s="4">
        <v>165.63000000000005</v>
      </c>
      <c r="F9" s="4">
        <v>919.99999999999989</v>
      </c>
      <c r="G9" s="4">
        <v>206.23000000000002</v>
      </c>
      <c r="H9" s="4">
        <v>591.19999999999993</v>
      </c>
      <c r="I9" s="4">
        <v>114.89999999999999</v>
      </c>
      <c r="J9" s="4">
        <v>2826</v>
      </c>
      <c r="K9" s="4">
        <v>595.57000000000005</v>
      </c>
    </row>
    <row r="10" spans="1:11" x14ac:dyDescent="0.25">
      <c r="A10" s="3" t="s">
        <v>1524</v>
      </c>
      <c r="B10" s="4">
        <v>138981.75</v>
      </c>
      <c r="C10" s="4">
        <v>28998.51</v>
      </c>
      <c r="D10" s="4">
        <v>175154.8</v>
      </c>
      <c r="E10" s="4">
        <v>38840.81</v>
      </c>
      <c r="F10" s="4">
        <v>165151.75</v>
      </c>
      <c r="G10" s="4">
        <v>36502.140000000014</v>
      </c>
      <c r="H10" s="4">
        <v>184593.95</v>
      </c>
      <c r="I10" s="4">
        <v>39389.310000000005</v>
      </c>
      <c r="J10" s="4">
        <v>663882.25</v>
      </c>
      <c r="K10" s="4">
        <v>143730.77000000002</v>
      </c>
    </row>
    <row r="12" spans="1:11" x14ac:dyDescent="0.25">
      <c r="B12" s="7" t="s">
        <v>1536</v>
      </c>
    </row>
    <row r="13" spans="1:11" x14ac:dyDescent="0.25">
      <c r="B13" t="s">
        <v>1540</v>
      </c>
    </row>
    <row r="14" spans="1:11" x14ac:dyDescent="0.25">
      <c r="B14" t="s">
        <v>1541</v>
      </c>
    </row>
    <row r="15" spans="1:11" x14ac:dyDescent="0.25">
      <c r="B15" t="s">
        <v>1542</v>
      </c>
    </row>
    <row r="16" spans="1:11" x14ac:dyDescent="0.25">
      <c r="B16" t="s">
        <v>1543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5DA8-9A64-42AA-901B-E1284E1B1705}">
  <dimension ref="A1:E14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  <col min="4" max="4" width="14.85546875" customWidth="1"/>
    <col min="5" max="5" width="10" bestFit="1" customWidth="1"/>
    <col min="6" max="6" width="12.5703125" bestFit="1" customWidth="1"/>
    <col min="7" max="9" width="9" bestFit="1" customWidth="1"/>
    <col min="10" max="10" width="17.28515625" bestFit="1" customWidth="1"/>
    <col min="11" max="11" width="17.7109375" bestFit="1" customWidth="1"/>
  </cols>
  <sheetData>
    <row r="1" spans="1:5" x14ac:dyDescent="0.25">
      <c r="A1" s="2" t="s">
        <v>8</v>
      </c>
      <c r="B1" t="s">
        <v>1544</v>
      </c>
    </row>
    <row r="3" spans="1:5" x14ac:dyDescent="0.25">
      <c r="A3" s="2" t="s">
        <v>1523</v>
      </c>
      <c r="B3" t="s">
        <v>1525</v>
      </c>
      <c r="C3" t="s">
        <v>1526</v>
      </c>
      <c r="D3" s="8" t="s">
        <v>1532</v>
      </c>
    </row>
    <row r="4" spans="1:5" x14ac:dyDescent="0.25">
      <c r="A4" s="3" t="s">
        <v>27</v>
      </c>
      <c r="B4" s="4">
        <v>234422.5</v>
      </c>
      <c r="C4" s="4">
        <v>51256.150000000009</v>
      </c>
      <c r="D4" s="6">
        <f>(C4/B4)</f>
        <v>0.21864859388497268</v>
      </c>
      <c r="E4" s="7" t="s">
        <v>1536</v>
      </c>
    </row>
    <row r="5" spans="1:5" x14ac:dyDescent="0.25">
      <c r="A5" s="3" t="s">
        <v>32</v>
      </c>
      <c r="B5" s="4">
        <v>139050</v>
      </c>
      <c r="C5" s="4">
        <v>29260.999999999996</v>
      </c>
      <c r="D5" s="6">
        <f t="shared" ref="D5:D14" si="0">(C5/B5)</f>
        <v>0.21043509528946419</v>
      </c>
      <c r="E5" t="s">
        <v>1545</v>
      </c>
    </row>
    <row r="6" spans="1:5" x14ac:dyDescent="0.25">
      <c r="A6" s="3" t="s">
        <v>50</v>
      </c>
      <c r="B6" s="4">
        <v>81504</v>
      </c>
      <c r="C6" s="4">
        <v>17078.61</v>
      </c>
      <c r="D6" s="6">
        <f t="shared" si="0"/>
        <v>0.20954321260306244</v>
      </c>
      <c r="E6" t="s">
        <v>1546</v>
      </c>
    </row>
    <row r="7" spans="1:5" x14ac:dyDescent="0.25">
      <c r="A7" s="3" t="s">
        <v>24</v>
      </c>
      <c r="B7" s="4">
        <v>76538</v>
      </c>
      <c r="C7" s="4">
        <v>17573.960000000003</v>
      </c>
      <c r="D7" s="6">
        <f t="shared" si="0"/>
        <v>0.22961091222660643</v>
      </c>
    </row>
    <row r="8" spans="1:5" x14ac:dyDescent="0.25">
      <c r="A8" s="3" t="s">
        <v>19</v>
      </c>
      <c r="B8" s="4">
        <v>59607</v>
      </c>
      <c r="C8" s="4">
        <v>12585.749999999998</v>
      </c>
      <c r="D8" s="6">
        <f t="shared" si="0"/>
        <v>0.21114550304494437</v>
      </c>
    </row>
    <row r="9" spans="1:5" x14ac:dyDescent="0.25">
      <c r="A9" s="3" t="s">
        <v>37</v>
      </c>
      <c r="B9" s="4">
        <v>26688</v>
      </c>
      <c r="C9" s="4">
        <v>5880.18</v>
      </c>
      <c r="D9" s="6">
        <f t="shared" si="0"/>
        <v>0.22033048561151081</v>
      </c>
    </row>
    <row r="10" spans="1:5" x14ac:dyDescent="0.25">
      <c r="A10" s="3" t="s">
        <v>12</v>
      </c>
      <c r="B10" s="4">
        <v>19120.75</v>
      </c>
      <c r="C10" s="4">
        <v>4048.49</v>
      </c>
      <c r="D10" s="6">
        <f t="shared" si="0"/>
        <v>0.21173280336806871</v>
      </c>
    </row>
    <row r="11" spans="1:5" x14ac:dyDescent="0.25">
      <c r="A11" s="3" t="s">
        <v>81</v>
      </c>
      <c r="B11" s="4">
        <v>15493.5</v>
      </c>
      <c r="C11" s="4">
        <v>3676.01</v>
      </c>
      <c r="D11" s="6">
        <f t="shared" si="0"/>
        <v>0.2372614322135089</v>
      </c>
    </row>
    <row r="12" spans="1:5" x14ac:dyDescent="0.25">
      <c r="A12" s="3" t="s">
        <v>91</v>
      </c>
      <c r="B12" s="4">
        <v>8632.5</v>
      </c>
      <c r="C12" s="4">
        <v>1775.0499999999997</v>
      </c>
      <c r="D12" s="6">
        <f t="shared" si="0"/>
        <v>0.20562409498986386</v>
      </c>
    </row>
    <row r="13" spans="1:5" x14ac:dyDescent="0.25">
      <c r="A13" s="3" t="s">
        <v>73</v>
      </c>
      <c r="B13" s="4">
        <v>2826</v>
      </c>
      <c r="C13" s="4">
        <v>595.57000000000005</v>
      </c>
      <c r="D13" s="6">
        <f t="shared" si="0"/>
        <v>0.21074663835810334</v>
      </c>
    </row>
    <row r="14" spans="1:5" x14ac:dyDescent="0.25">
      <c r="A14" s="3" t="s">
        <v>1524</v>
      </c>
      <c r="B14" s="4">
        <v>663882.25</v>
      </c>
      <c r="C14" s="4">
        <v>143730.77000000002</v>
      </c>
      <c r="D14" s="6">
        <f t="shared" si="0"/>
        <v>0.2165003959663028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01FD-597A-4013-83A7-74E0DB9BD252}">
  <dimension ref="A1:J1201"/>
  <sheetViews>
    <sheetView tabSelected="1" topLeftCell="A2"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15.5703125" bestFit="1" customWidth="1"/>
    <col min="3" max="3" width="14.7109375" bestFit="1" customWidth="1"/>
    <col min="4" max="4" width="12.140625" bestFit="1" customWidth="1"/>
    <col min="5" max="5" width="11.28515625" bestFit="1" customWidth="1"/>
    <col min="6" max="6" width="9.42578125" bestFit="1" customWidth="1"/>
    <col min="7" max="8" width="11" bestFit="1" customWidth="1"/>
    <col min="9" max="9" width="7.85546875" bestFit="1" customWidth="1"/>
    <col min="10" max="10" width="8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45658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>
        <v>0.2</v>
      </c>
      <c r="I2">
        <v>176</v>
      </c>
      <c r="J2">
        <v>7.39</v>
      </c>
    </row>
    <row r="3" spans="1:10" x14ac:dyDescent="0.25">
      <c r="A3" t="s">
        <v>15</v>
      </c>
      <c r="B3" s="1">
        <v>45658</v>
      </c>
      <c r="C3" t="s">
        <v>16</v>
      </c>
      <c r="D3" t="s">
        <v>12</v>
      </c>
      <c r="E3" t="s">
        <v>13</v>
      </c>
      <c r="F3" t="s">
        <v>14</v>
      </c>
      <c r="G3">
        <v>2</v>
      </c>
      <c r="H3">
        <v>0</v>
      </c>
      <c r="I3">
        <v>110</v>
      </c>
      <c r="J3">
        <v>40.520000000000003</v>
      </c>
    </row>
    <row r="4" spans="1:10" x14ac:dyDescent="0.25">
      <c r="A4" t="s">
        <v>17</v>
      </c>
      <c r="B4" s="1">
        <v>45658</v>
      </c>
      <c r="C4" t="s">
        <v>18</v>
      </c>
      <c r="D4" t="s">
        <v>19</v>
      </c>
      <c r="E4" t="s">
        <v>20</v>
      </c>
      <c r="F4" t="s">
        <v>21</v>
      </c>
      <c r="G4">
        <v>3</v>
      </c>
      <c r="H4">
        <v>0</v>
      </c>
      <c r="I4">
        <v>540</v>
      </c>
      <c r="J4">
        <v>100.45</v>
      </c>
    </row>
    <row r="5" spans="1:10" x14ac:dyDescent="0.25">
      <c r="A5" t="s">
        <v>22</v>
      </c>
      <c r="B5" s="1">
        <v>45658</v>
      </c>
      <c r="C5" t="s">
        <v>23</v>
      </c>
      <c r="D5" t="s">
        <v>24</v>
      </c>
      <c r="E5" t="s">
        <v>20</v>
      </c>
      <c r="F5" t="s">
        <v>14</v>
      </c>
      <c r="G5">
        <v>1</v>
      </c>
      <c r="H5">
        <v>0.05</v>
      </c>
      <c r="I5">
        <v>209</v>
      </c>
      <c r="J5">
        <v>49.51</v>
      </c>
    </row>
    <row r="6" spans="1:10" x14ac:dyDescent="0.25">
      <c r="A6" t="s">
        <v>25</v>
      </c>
      <c r="B6" s="1">
        <v>45659</v>
      </c>
      <c r="C6" t="s">
        <v>26</v>
      </c>
      <c r="D6" t="s">
        <v>27</v>
      </c>
      <c r="E6" t="s">
        <v>28</v>
      </c>
      <c r="F6" t="s">
        <v>29</v>
      </c>
      <c r="G6">
        <v>3</v>
      </c>
      <c r="H6">
        <v>0.1</v>
      </c>
      <c r="I6">
        <v>1755</v>
      </c>
      <c r="J6">
        <v>491.6</v>
      </c>
    </row>
    <row r="7" spans="1:10" x14ac:dyDescent="0.25">
      <c r="A7" t="s">
        <v>30</v>
      </c>
      <c r="B7" s="1">
        <v>45659</v>
      </c>
      <c r="C7" t="s">
        <v>31</v>
      </c>
      <c r="D7" t="s">
        <v>32</v>
      </c>
      <c r="E7" t="s">
        <v>28</v>
      </c>
      <c r="F7" t="s">
        <v>14</v>
      </c>
      <c r="G7">
        <v>4</v>
      </c>
      <c r="H7">
        <v>0.1</v>
      </c>
      <c r="I7">
        <v>1800</v>
      </c>
      <c r="J7">
        <v>323.02999999999997</v>
      </c>
    </row>
    <row r="8" spans="1:10" x14ac:dyDescent="0.25">
      <c r="A8" t="s">
        <v>33</v>
      </c>
      <c r="B8" s="1">
        <v>45659</v>
      </c>
      <c r="C8" t="s">
        <v>34</v>
      </c>
      <c r="D8" t="s">
        <v>32</v>
      </c>
      <c r="E8" t="s">
        <v>28</v>
      </c>
      <c r="F8" t="s">
        <v>29</v>
      </c>
      <c r="G8">
        <v>5</v>
      </c>
      <c r="H8">
        <v>0.05</v>
      </c>
      <c r="I8">
        <v>2375</v>
      </c>
      <c r="J8">
        <v>818.37</v>
      </c>
    </row>
    <row r="9" spans="1:10" x14ac:dyDescent="0.25">
      <c r="A9" t="s">
        <v>35</v>
      </c>
      <c r="B9" s="1">
        <v>45660</v>
      </c>
      <c r="C9" t="s">
        <v>36</v>
      </c>
      <c r="D9" t="s">
        <v>37</v>
      </c>
      <c r="E9" t="s">
        <v>28</v>
      </c>
      <c r="F9" t="s">
        <v>38</v>
      </c>
      <c r="G9">
        <v>2</v>
      </c>
      <c r="H9">
        <v>0.05</v>
      </c>
      <c r="I9">
        <v>152</v>
      </c>
      <c r="J9">
        <v>49.67</v>
      </c>
    </row>
    <row r="10" spans="1:10" x14ac:dyDescent="0.25">
      <c r="A10" t="s">
        <v>39</v>
      </c>
      <c r="B10" s="1">
        <v>45660</v>
      </c>
      <c r="C10" t="s">
        <v>40</v>
      </c>
      <c r="D10" t="s">
        <v>12</v>
      </c>
      <c r="E10" t="s">
        <v>13</v>
      </c>
      <c r="F10" t="s">
        <v>14</v>
      </c>
      <c r="G10">
        <v>4</v>
      </c>
      <c r="H10">
        <v>0.05</v>
      </c>
      <c r="I10">
        <v>209</v>
      </c>
      <c r="J10">
        <v>71.09</v>
      </c>
    </row>
    <row r="11" spans="1:10" x14ac:dyDescent="0.25">
      <c r="A11" t="s">
        <v>41</v>
      </c>
      <c r="B11" s="1">
        <v>45660</v>
      </c>
      <c r="C11" t="s">
        <v>42</v>
      </c>
      <c r="D11" t="s">
        <v>19</v>
      </c>
      <c r="E11" t="s">
        <v>20</v>
      </c>
      <c r="F11" t="s">
        <v>21</v>
      </c>
      <c r="G11">
        <v>2</v>
      </c>
      <c r="H11">
        <v>0.1</v>
      </c>
      <c r="I11">
        <v>324</v>
      </c>
      <c r="J11">
        <v>78.36</v>
      </c>
    </row>
    <row r="12" spans="1:10" x14ac:dyDescent="0.25">
      <c r="A12" t="s">
        <v>43</v>
      </c>
      <c r="B12" s="1">
        <v>45661</v>
      </c>
      <c r="C12" t="s">
        <v>44</v>
      </c>
      <c r="D12" t="s">
        <v>19</v>
      </c>
      <c r="E12" t="s">
        <v>20</v>
      </c>
      <c r="F12" t="s">
        <v>21</v>
      </c>
      <c r="G12">
        <v>5</v>
      </c>
      <c r="H12">
        <v>0.2</v>
      </c>
      <c r="I12">
        <v>720</v>
      </c>
      <c r="J12">
        <v>22.48</v>
      </c>
    </row>
    <row r="13" spans="1:10" x14ac:dyDescent="0.25">
      <c r="A13" t="s">
        <v>45</v>
      </c>
      <c r="B13" s="1">
        <v>45661</v>
      </c>
      <c r="C13" t="s">
        <v>46</v>
      </c>
      <c r="D13" t="s">
        <v>19</v>
      </c>
      <c r="E13" t="s">
        <v>20</v>
      </c>
      <c r="F13" t="s">
        <v>14</v>
      </c>
      <c r="G13">
        <v>4</v>
      </c>
      <c r="H13">
        <v>0</v>
      </c>
      <c r="I13">
        <v>720</v>
      </c>
      <c r="J13">
        <v>226.75</v>
      </c>
    </row>
    <row r="14" spans="1:10" x14ac:dyDescent="0.25">
      <c r="A14" t="s">
        <v>47</v>
      </c>
      <c r="B14" s="1">
        <v>45661</v>
      </c>
      <c r="C14" t="s">
        <v>26</v>
      </c>
      <c r="D14" t="s">
        <v>37</v>
      </c>
      <c r="E14" t="s">
        <v>28</v>
      </c>
      <c r="F14" t="s">
        <v>29</v>
      </c>
      <c r="G14">
        <v>5</v>
      </c>
      <c r="H14">
        <v>0.1</v>
      </c>
      <c r="I14">
        <v>360</v>
      </c>
      <c r="J14">
        <v>34.78</v>
      </c>
    </row>
    <row r="15" spans="1:10" x14ac:dyDescent="0.25">
      <c r="A15" t="s">
        <v>48</v>
      </c>
      <c r="B15" s="1">
        <v>45661</v>
      </c>
      <c r="C15" t="s">
        <v>49</v>
      </c>
      <c r="D15" t="s">
        <v>50</v>
      </c>
      <c r="E15" t="s">
        <v>28</v>
      </c>
      <c r="F15" t="s">
        <v>29</v>
      </c>
      <c r="G15">
        <v>5</v>
      </c>
      <c r="H15">
        <v>0.15</v>
      </c>
      <c r="I15">
        <v>1020</v>
      </c>
      <c r="J15">
        <v>258.11</v>
      </c>
    </row>
    <row r="16" spans="1:10" x14ac:dyDescent="0.25">
      <c r="A16" t="s">
        <v>51</v>
      </c>
      <c r="B16" s="1">
        <v>45662</v>
      </c>
      <c r="C16" t="s">
        <v>52</v>
      </c>
      <c r="D16" t="s">
        <v>27</v>
      </c>
      <c r="E16" t="s">
        <v>28</v>
      </c>
      <c r="F16" t="s">
        <v>29</v>
      </c>
      <c r="G16">
        <v>4</v>
      </c>
      <c r="H16">
        <v>0.05</v>
      </c>
      <c r="I16">
        <v>2470</v>
      </c>
      <c r="J16">
        <v>850.68</v>
      </c>
    </row>
    <row r="17" spans="1:10" x14ac:dyDescent="0.25">
      <c r="A17" t="s">
        <v>53</v>
      </c>
      <c r="B17" s="1">
        <v>45662</v>
      </c>
      <c r="C17" t="s">
        <v>54</v>
      </c>
      <c r="D17" t="s">
        <v>32</v>
      </c>
      <c r="E17" t="s">
        <v>28</v>
      </c>
      <c r="F17" t="s">
        <v>21</v>
      </c>
      <c r="G17">
        <v>3</v>
      </c>
      <c r="H17">
        <v>0.15</v>
      </c>
      <c r="I17">
        <v>1275</v>
      </c>
      <c r="J17">
        <v>322.79000000000002</v>
      </c>
    </row>
    <row r="18" spans="1:10" x14ac:dyDescent="0.25">
      <c r="A18" t="s">
        <v>55</v>
      </c>
      <c r="B18" s="1">
        <v>45662</v>
      </c>
      <c r="C18" t="s">
        <v>56</v>
      </c>
      <c r="D18" t="s">
        <v>50</v>
      </c>
      <c r="E18" t="s">
        <v>28</v>
      </c>
      <c r="F18" t="s">
        <v>29</v>
      </c>
      <c r="G18">
        <v>4</v>
      </c>
      <c r="H18">
        <v>0.15</v>
      </c>
      <c r="I18">
        <v>816</v>
      </c>
      <c r="J18">
        <v>101.13</v>
      </c>
    </row>
    <row r="19" spans="1:10" x14ac:dyDescent="0.25">
      <c r="A19" t="s">
        <v>57</v>
      </c>
      <c r="B19" s="1">
        <v>45663</v>
      </c>
      <c r="C19" t="s">
        <v>58</v>
      </c>
      <c r="D19" t="s">
        <v>12</v>
      </c>
      <c r="E19" t="s">
        <v>13</v>
      </c>
      <c r="F19" t="s">
        <v>14</v>
      </c>
      <c r="G19">
        <v>5</v>
      </c>
      <c r="H19">
        <v>0.1</v>
      </c>
      <c r="I19">
        <v>247.5</v>
      </c>
      <c r="J19">
        <v>41.93</v>
      </c>
    </row>
    <row r="20" spans="1:10" x14ac:dyDescent="0.25">
      <c r="A20" t="s">
        <v>59</v>
      </c>
      <c r="B20" s="1">
        <v>45663</v>
      </c>
      <c r="C20" t="s">
        <v>60</v>
      </c>
      <c r="D20" t="s">
        <v>32</v>
      </c>
      <c r="E20" t="s">
        <v>28</v>
      </c>
      <c r="F20" t="s">
        <v>21</v>
      </c>
      <c r="G20">
        <v>5</v>
      </c>
      <c r="H20">
        <v>0.2</v>
      </c>
      <c r="I20">
        <v>2000</v>
      </c>
      <c r="J20">
        <v>25.54</v>
      </c>
    </row>
    <row r="21" spans="1:10" x14ac:dyDescent="0.25">
      <c r="A21" t="s">
        <v>61</v>
      </c>
      <c r="B21" s="1">
        <v>45663</v>
      </c>
      <c r="C21" t="s">
        <v>62</v>
      </c>
      <c r="D21" t="s">
        <v>12</v>
      </c>
      <c r="E21" t="s">
        <v>13</v>
      </c>
      <c r="F21" t="s">
        <v>29</v>
      </c>
      <c r="G21">
        <v>3</v>
      </c>
      <c r="H21">
        <v>0.1</v>
      </c>
      <c r="I21">
        <v>148.5</v>
      </c>
      <c r="J21">
        <v>32.090000000000003</v>
      </c>
    </row>
    <row r="22" spans="1:10" x14ac:dyDescent="0.25">
      <c r="A22" t="s">
        <v>63</v>
      </c>
      <c r="B22" s="1">
        <v>45664</v>
      </c>
      <c r="C22" t="s">
        <v>64</v>
      </c>
      <c r="D22" t="s">
        <v>32</v>
      </c>
      <c r="E22" t="s">
        <v>28</v>
      </c>
      <c r="F22" t="s">
        <v>14</v>
      </c>
      <c r="G22">
        <v>1</v>
      </c>
      <c r="H22">
        <v>0.05</v>
      </c>
      <c r="I22">
        <v>475</v>
      </c>
      <c r="J22">
        <v>114.14</v>
      </c>
    </row>
    <row r="23" spans="1:10" x14ac:dyDescent="0.25">
      <c r="A23" t="s">
        <v>65</v>
      </c>
      <c r="B23" s="1">
        <v>45664</v>
      </c>
      <c r="C23" t="s">
        <v>66</v>
      </c>
      <c r="D23" t="s">
        <v>12</v>
      </c>
      <c r="E23" t="s">
        <v>13</v>
      </c>
      <c r="F23" t="s">
        <v>29</v>
      </c>
      <c r="G23">
        <v>5</v>
      </c>
      <c r="H23">
        <v>0.1</v>
      </c>
      <c r="I23">
        <v>247.5</v>
      </c>
      <c r="J23">
        <v>65.83</v>
      </c>
    </row>
    <row r="24" spans="1:10" x14ac:dyDescent="0.25">
      <c r="A24" t="s">
        <v>67</v>
      </c>
      <c r="B24" s="1">
        <v>45664</v>
      </c>
      <c r="C24" t="s">
        <v>68</v>
      </c>
      <c r="D24" t="s">
        <v>12</v>
      </c>
      <c r="E24" t="s">
        <v>13</v>
      </c>
      <c r="F24" t="s">
        <v>14</v>
      </c>
      <c r="G24">
        <v>3</v>
      </c>
      <c r="H24">
        <v>0.1</v>
      </c>
      <c r="I24">
        <v>148.5</v>
      </c>
      <c r="J24">
        <v>17.14</v>
      </c>
    </row>
    <row r="25" spans="1:10" x14ac:dyDescent="0.25">
      <c r="A25" t="s">
        <v>69</v>
      </c>
      <c r="B25" s="1">
        <v>45664</v>
      </c>
      <c r="C25" t="s">
        <v>70</v>
      </c>
      <c r="D25" t="s">
        <v>50</v>
      </c>
      <c r="E25" t="s">
        <v>28</v>
      </c>
      <c r="F25" t="s">
        <v>29</v>
      </c>
      <c r="G25">
        <v>5</v>
      </c>
      <c r="H25">
        <v>0.15</v>
      </c>
      <c r="I25">
        <v>1020</v>
      </c>
      <c r="J25">
        <v>83.12</v>
      </c>
    </row>
    <row r="26" spans="1:10" x14ac:dyDescent="0.25">
      <c r="A26" t="s">
        <v>71</v>
      </c>
      <c r="B26" s="1">
        <v>45665</v>
      </c>
      <c r="C26" t="s">
        <v>72</v>
      </c>
      <c r="D26" t="s">
        <v>73</v>
      </c>
      <c r="E26" t="s">
        <v>74</v>
      </c>
      <c r="F26" t="s">
        <v>21</v>
      </c>
      <c r="G26">
        <v>4</v>
      </c>
      <c r="H26">
        <v>0.05</v>
      </c>
      <c r="I26">
        <v>30.4</v>
      </c>
      <c r="J26">
        <v>4.76</v>
      </c>
    </row>
    <row r="27" spans="1:10" x14ac:dyDescent="0.25">
      <c r="A27" t="s">
        <v>75</v>
      </c>
      <c r="B27" s="1">
        <v>45665</v>
      </c>
      <c r="C27" t="s">
        <v>76</v>
      </c>
      <c r="D27" t="s">
        <v>50</v>
      </c>
      <c r="E27" t="s">
        <v>28</v>
      </c>
      <c r="F27" t="s">
        <v>29</v>
      </c>
      <c r="G27">
        <v>4</v>
      </c>
      <c r="H27">
        <v>0.05</v>
      </c>
      <c r="I27">
        <v>912</v>
      </c>
      <c r="J27">
        <v>258.27999999999997</v>
      </c>
    </row>
    <row r="28" spans="1:10" x14ac:dyDescent="0.25">
      <c r="A28" t="s">
        <v>77</v>
      </c>
      <c r="B28" s="1">
        <v>45665</v>
      </c>
      <c r="C28" t="s">
        <v>78</v>
      </c>
      <c r="D28" t="s">
        <v>50</v>
      </c>
      <c r="E28" t="s">
        <v>28</v>
      </c>
      <c r="F28" t="s">
        <v>38</v>
      </c>
      <c r="G28">
        <v>5</v>
      </c>
      <c r="H28">
        <v>0.1</v>
      </c>
      <c r="I28">
        <v>1080</v>
      </c>
      <c r="J28">
        <v>271.33999999999997</v>
      </c>
    </row>
    <row r="29" spans="1:10" x14ac:dyDescent="0.25">
      <c r="A29" t="s">
        <v>79</v>
      </c>
      <c r="B29" s="1">
        <v>45666</v>
      </c>
      <c r="C29" t="s">
        <v>80</v>
      </c>
      <c r="D29" t="s">
        <v>81</v>
      </c>
      <c r="E29" t="s">
        <v>13</v>
      </c>
      <c r="F29" t="s">
        <v>29</v>
      </c>
      <c r="G29">
        <v>1</v>
      </c>
      <c r="H29">
        <v>0.05</v>
      </c>
      <c r="I29">
        <v>42.75</v>
      </c>
      <c r="J29">
        <v>14.27</v>
      </c>
    </row>
    <row r="30" spans="1:10" x14ac:dyDescent="0.25">
      <c r="A30" t="s">
        <v>82</v>
      </c>
      <c r="B30" s="1">
        <v>45666</v>
      </c>
      <c r="C30" t="s">
        <v>52</v>
      </c>
      <c r="D30" t="s">
        <v>12</v>
      </c>
      <c r="E30" t="s">
        <v>13</v>
      </c>
      <c r="F30" t="s">
        <v>38</v>
      </c>
      <c r="G30">
        <v>2</v>
      </c>
      <c r="H30">
        <v>0.1</v>
      </c>
      <c r="I30">
        <v>99</v>
      </c>
      <c r="J30">
        <v>27.54</v>
      </c>
    </row>
    <row r="31" spans="1:10" x14ac:dyDescent="0.25">
      <c r="A31" t="s">
        <v>83</v>
      </c>
      <c r="B31" s="1">
        <v>45666</v>
      </c>
      <c r="C31" t="s">
        <v>84</v>
      </c>
      <c r="D31" t="s">
        <v>27</v>
      </c>
      <c r="E31" t="s">
        <v>28</v>
      </c>
      <c r="F31" t="s">
        <v>14</v>
      </c>
      <c r="G31">
        <v>2</v>
      </c>
      <c r="H31">
        <v>0.1</v>
      </c>
      <c r="I31">
        <v>1170</v>
      </c>
      <c r="J31">
        <v>350.62</v>
      </c>
    </row>
    <row r="32" spans="1:10" x14ac:dyDescent="0.25">
      <c r="A32" t="s">
        <v>85</v>
      </c>
      <c r="B32" s="1">
        <v>45667</v>
      </c>
      <c r="C32" t="s">
        <v>86</v>
      </c>
      <c r="D32" t="s">
        <v>27</v>
      </c>
      <c r="E32" t="s">
        <v>28</v>
      </c>
      <c r="F32" t="s">
        <v>29</v>
      </c>
      <c r="G32">
        <v>3</v>
      </c>
      <c r="H32">
        <v>0.1</v>
      </c>
      <c r="I32">
        <v>1755</v>
      </c>
      <c r="J32">
        <v>338.94</v>
      </c>
    </row>
    <row r="33" spans="1:10" x14ac:dyDescent="0.25">
      <c r="A33" t="s">
        <v>87</v>
      </c>
      <c r="B33" s="1">
        <v>45667</v>
      </c>
      <c r="C33" t="s">
        <v>88</v>
      </c>
      <c r="D33" t="s">
        <v>81</v>
      </c>
      <c r="E33" t="s">
        <v>13</v>
      </c>
      <c r="F33" t="s">
        <v>21</v>
      </c>
      <c r="G33">
        <v>4</v>
      </c>
      <c r="H33">
        <v>0</v>
      </c>
      <c r="I33">
        <v>180</v>
      </c>
      <c r="J33">
        <v>55.09</v>
      </c>
    </row>
    <row r="34" spans="1:10" x14ac:dyDescent="0.25">
      <c r="A34" t="s">
        <v>89</v>
      </c>
      <c r="B34" s="1">
        <v>45667</v>
      </c>
      <c r="C34" t="s">
        <v>90</v>
      </c>
      <c r="D34" t="s">
        <v>91</v>
      </c>
      <c r="E34" t="s">
        <v>13</v>
      </c>
      <c r="F34" t="s">
        <v>29</v>
      </c>
      <c r="G34">
        <v>5</v>
      </c>
      <c r="H34">
        <v>0.1</v>
      </c>
      <c r="I34">
        <v>135</v>
      </c>
      <c r="J34">
        <v>22.99</v>
      </c>
    </row>
    <row r="35" spans="1:10" x14ac:dyDescent="0.25">
      <c r="A35" t="s">
        <v>92</v>
      </c>
      <c r="B35" s="1">
        <v>45668</v>
      </c>
      <c r="C35" t="s">
        <v>93</v>
      </c>
      <c r="D35" t="s">
        <v>27</v>
      </c>
      <c r="E35" t="s">
        <v>28</v>
      </c>
      <c r="F35" t="s">
        <v>29</v>
      </c>
      <c r="G35">
        <v>1</v>
      </c>
      <c r="H35">
        <v>0.05</v>
      </c>
      <c r="I35">
        <v>617.5</v>
      </c>
      <c r="J35">
        <v>190.25</v>
      </c>
    </row>
    <row r="36" spans="1:10" x14ac:dyDescent="0.25">
      <c r="A36" t="s">
        <v>94</v>
      </c>
      <c r="B36" s="1">
        <v>45668</v>
      </c>
      <c r="C36" t="s">
        <v>95</v>
      </c>
      <c r="D36" t="s">
        <v>19</v>
      </c>
      <c r="E36" t="s">
        <v>20</v>
      </c>
      <c r="F36" t="s">
        <v>29</v>
      </c>
      <c r="G36">
        <v>3</v>
      </c>
      <c r="H36">
        <v>0.1</v>
      </c>
      <c r="I36">
        <v>486</v>
      </c>
      <c r="J36">
        <v>63.77</v>
      </c>
    </row>
    <row r="37" spans="1:10" x14ac:dyDescent="0.25">
      <c r="A37" t="s">
        <v>96</v>
      </c>
      <c r="B37" s="1">
        <v>45668</v>
      </c>
      <c r="C37" t="s">
        <v>97</v>
      </c>
      <c r="D37" t="s">
        <v>12</v>
      </c>
      <c r="E37" t="s">
        <v>13</v>
      </c>
      <c r="F37" t="s">
        <v>21</v>
      </c>
      <c r="G37">
        <v>4</v>
      </c>
      <c r="H37">
        <v>0.2</v>
      </c>
      <c r="I37">
        <v>176</v>
      </c>
      <c r="J37">
        <v>22.11</v>
      </c>
    </row>
    <row r="38" spans="1:10" x14ac:dyDescent="0.25">
      <c r="A38" t="s">
        <v>98</v>
      </c>
      <c r="B38" s="1">
        <v>45668</v>
      </c>
      <c r="C38" t="s">
        <v>99</v>
      </c>
      <c r="D38" t="s">
        <v>91</v>
      </c>
      <c r="E38" t="s">
        <v>13</v>
      </c>
      <c r="F38" t="s">
        <v>38</v>
      </c>
      <c r="G38">
        <v>1</v>
      </c>
      <c r="H38">
        <v>0.1</v>
      </c>
      <c r="I38">
        <v>27</v>
      </c>
      <c r="J38">
        <v>3.99</v>
      </c>
    </row>
    <row r="39" spans="1:10" x14ac:dyDescent="0.25">
      <c r="A39" t="s">
        <v>100</v>
      </c>
      <c r="B39" s="1">
        <v>45669</v>
      </c>
      <c r="C39" t="s">
        <v>101</v>
      </c>
      <c r="D39" t="s">
        <v>73</v>
      </c>
      <c r="E39" t="s">
        <v>74</v>
      </c>
      <c r="F39" t="s">
        <v>14</v>
      </c>
      <c r="G39">
        <v>3</v>
      </c>
      <c r="H39">
        <v>0</v>
      </c>
      <c r="I39">
        <v>24</v>
      </c>
      <c r="J39">
        <v>8.2799999999999994</v>
      </c>
    </row>
    <row r="40" spans="1:10" x14ac:dyDescent="0.25">
      <c r="A40" t="s">
        <v>102</v>
      </c>
      <c r="B40" s="1">
        <v>45669</v>
      </c>
      <c r="C40" t="s">
        <v>103</v>
      </c>
      <c r="D40" t="s">
        <v>19</v>
      </c>
      <c r="E40" t="s">
        <v>20</v>
      </c>
      <c r="F40" t="s">
        <v>29</v>
      </c>
      <c r="G40">
        <v>4</v>
      </c>
      <c r="H40">
        <v>0.05</v>
      </c>
      <c r="I40">
        <v>684</v>
      </c>
      <c r="J40">
        <v>94.14</v>
      </c>
    </row>
    <row r="41" spans="1:10" x14ac:dyDescent="0.25">
      <c r="A41" t="s">
        <v>104</v>
      </c>
      <c r="B41" s="1">
        <v>45669</v>
      </c>
      <c r="C41" t="s">
        <v>105</v>
      </c>
      <c r="D41" t="s">
        <v>24</v>
      </c>
      <c r="E41" t="s">
        <v>20</v>
      </c>
      <c r="F41" t="s">
        <v>38</v>
      </c>
      <c r="G41">
        <v>5</v>
      </c>
      <c r="H41">
        <v>0.15</v>
      </c>
      <c r="I41">
        <v>935</v>
      </c>
      <c r="J41">
        <v>211.48</v>
      </c>
    </row>
    <row r="42" spans="1:10" x14ac:dyDescent="0.25">
      <c r="A42" t="s">
        <v>106</v>
      </c>
      <c r="B42" s="1">
        <v>45670</v>
      </c>
      <c r="C42" t="s">
        <v>107</v>
      </c>
      <c r="D42" t="s">
        <v>32</v>
      </c>
      <c r="E42" t="s">
        <v>28</v>
      </c>
      <c r="F42" t="s">
        <v>29</v>
      </c>
      <c r="G42">
        <v>3</v>
      </c>
      <c r="H42">
        <v>0.15</v>
      </c>
      <c r="I42">
        <v>1275</v>
      </c>
      <c r="J42">
        <v>223.65</v>
      </c>
    </row>
    <row r="43" spans="1:10" x14ac:dyDescent="0.25">
      <c r="A43" t="s">
        <v>108</v>
      </c>
      <c r="B43" s="1">
        <v>45670</v>
      </c>
      <c r="C43" t="s">
        <v>109</v>
      </c>
      <c r="D43" t="s">
        <v>19</v>
      </c>
      <c r="E43" t="s">
        <v>20</v>
      </c>
      <c r="F43" t="s">
        <v>29</v>
      </c>
      <c r="G43">
        <v>3</v>
      </c>
      <c r="H43">
        <v>0.2</v>
      </c>
      <c r="I43">
        <v>432</v>
      </c>
      <c r="J43">
        <v>12.38</v>
      </c>
    </row>
    <row r="44" spans="1:10" x14ac:dyDescent="0.25">
      <c r="A44" t="s">
        <v>110</v>
      </c>
      <c r="B44" s="1">
        <v>45670</v>
      </c>
      <c r="C44" t="s">
        <v>111</v>
      </c>
      <c r="D44" t="s">
        <v>32</v>
      </c>
      <c r="E44" t="s">
        <v>28</v>
      </c>
      <c r="F44" t="s">
        <v>21</v>
      </c>
      <c r="G44">
        <v>1</v>
      </c>
      <c r="H44">
        <v>0.1</v>
      </c>
      <c r="I44">
        <v>450</v>
      </c>
      <c r="J44">
        <v>139.49</v>
      </c>
    </row>
    <row r="45" spans="1:10" x14ac:dyDescent="0.25">
      <c r="A45" t="s">
        <v>112</v>
      </c>
      <c r="B45" s="1">
        <v>45671</v>
      </c>
      <c r="C45" t="s">
        <v>113</v>
      </c>
      <c r="D45" t="s">
        <v>32</v>
      </c>
      <c r="E45" t="s">
        <v>28</v>
      </c>
      <c r="F45" t="s">
        <v>21</v>
      </c>
      <c r="G45">
        <v>5</v>
      </c>
      <c r="H45">
        <v>0</v>
      </c>
      <c r="I45">
        <v>2500</v>
      </c>
      <c r="J45">
        <v>593.91</v>
      </c>
    </row>
    <row r="46" spans="1:10" x14ac:dyDescent="0.25">
      <c r="A46" t="s">
        <v>114</v>
      </c>
      <c r="B46" s="1">
        <v>45671</v>
      </c>
      <c r="C46" t="s">
        <v>115</v>
      </c>
      <c r="D46" t="s">
        <v>24</v>
      </c>
      <c r="E46" t="s">
        <v>20</v>
      </c>
      <c r="F46" t="s">
        <v>14</v>
      </c>
      <c r="G46">
        <v>4</v>
      </c>
      <c r="H46">
        <v>0.05</v>
      </c>
      <c r="I46">
        <v>836</v>
      </c>
      <c r="J46">
        <v>159.43</v>
      </c>
    </row>
    <row r="47" spans="1:10" x14ac:dyDescent="0.25">
      <c r="A47" t="s">
        <v>116</v>
      </c>
      <c r="B47" s="1">
        <v>45671</v>
      </c>
      <c r="C47" t="s">
        <v>117</v>
      </c>
      <c r="D47" t="s">
        <v>27</v>
      </c>
      <c r="E47" t="s">
        <v>28</v>
      </c>
      <c r="F47" t="s">
        <v>21</v>
      </c>
      <c r="G47">
        <v>4</v>
      </c>
      <c r="H47">
        <v>0.1</v>
      </c>
      <c r="I47">
        <v>2340</v>
      </c>
      <c r="J47">
        <v>397.11</v>
      </c>
    </row>
    <row r="48" spans="1:10" x14ac:dyDescent="0.25">
      <c r="A48" t="s">
        <v>118</v>
      </c>
      <c r="B48" s="1">
        <v>45671</v>
      </c>
      <c r="C48" t="s">
        <v>119</v>
      </c>
      <c r="D48" t="s">
        <v>81</v>
      </c>
      <c r="E48" t="s">
        <v>13</v>
      </c>
      <c r="F48" t="s">
        <v>21</v>
      </c>
      <c r="G48">
        <v>5</v>
      </c>
      <c r="H48">
        <v>0.05</v>
      </c>
      <c r="I48">
        <v>213.75</v>
      </c>
      <c r="J48">
        <v>33.479999999999997</v>
      </c>
    </row>
    <row r="49" spans="1:10" x14ac:dyDescent="0.25">
      <c r="A49" t="s">
        <v>120</v>
      </c>
      <c r="B49" s="1">
        <v>45672</v>
      </c>
      <c r="C49" t="s">
        <v>121</v>
      </c>
      <c r="D49" t="s">
        <v>24</v>
      </c>
      <c r="E49" t="s">
        <v>20</v>
      </c>
      <c r="F49" t="s">
        <v>29</v>
      </c>
      <c r="G49">
        <v>1</v>
      </c>
      <c r="H49">
        <v>0.1</v>
      </c>
      <c r="I49">
        <v>198</v>
      </c>
      <c r="J49">
        <v>39.93</v>
      </c>
    </row>
    <row r="50" spans="1:10" x14ac:dyDescent="0.25">
      <c r="A50" t="s">
        <v>122</v>
      </c>
      <c r="B50" s="1">
        <v>45672</v>
      </c>
      <c r="C50" t="s">
        <v>123</v>
      </c>
      <c r="D50" t="s">
        <v>32</v>
      </c>
      <c r="E50" t="s">
        <v>28</v>
      </c>
      <c r="F50" t="s">
        <v>14</v>
      </c>
      <c r="G50">
        <v>1</v>
      </c>
      <c r="H50">
        <v>0</v>
      </c>
      <c r="I50">
        <v>500</v>
      </c>
      <c r="J50">
        <v>90.54</v>
      </c>
    </row>
    <row r="51" spans="1:10" x14ac:dyDescent="0.25">
      <c r="A51" t="s">
        <v>124</v>
      </c>
      <c r="B51" s="1">
        <v>45672</v>
      </c>
      <c r="C51" t="s">
        <v>125</v>
      </c>
      <c r="D51" t="s">
        <v>24</v>
      </c>
      <c r="E51" t="s">
        <v>20</v>
      </c>
      <c r="F51" t="s">
        <v>38</v>
      </c>
      <c r="G51">
        <v>3</v>
      </c>
      <c r="H51">
        <v>0.1</v>
      </c>
      <c r="I51">
        <v>594</v>
      </c>
      <c r="J51">
        <v>58.99</v>
      </c>
    </row>
    <row r="52" spans="1:10" x14ac:dyDescent="0.25">
      <c r="A52" t="s">
        <v>126</v>
      </c>
      <c r="B52" s="1">
        <v>45673</v>
      </c>
      <c r="C52" t="s">
        <v>107</v>
      </c>
      <c r="D52" t="s">
        <v>32</v>
      </c>
      <c r="E52" t="s">
        <v>28</v>
      </c>
      <c r="F52" t="s">
        <v>29</v>
      </c>
      <c r="G52">
        <v>4</v>
      </c>
      <c r="H52">
        <v>0.15</v>
      </c>
      <c r="I52">
        <v>1700</v>
      </c>
      <c r="J52">
        <v>342.22</v>
      </c>
    </row>
    <row r="53" spans="1:10" x14ac:dyDescent="0.25">
      <c r="A53" t="s">
        <v>127</v>
      </c>
      <c r="B53" s="1">
        <v>45673</v>
      </c>
      <c r="C53" t="s">
        <v>128</v>
      </c>
      <c r="D53" t="s">
        <v>32</v>
      </c>
      <c r="E53" t="s">
        <v>28</v>
      </c>
      <c r="F53" t="s">
        <v>38</v>
      </c>
      <c r="G53">
        <v>2</v>
      </c>
      <c r="H53">
        <v>0.1</v>
      </c>
      <c r="I53">
        <v>900</v>
      </c>
      <c r="J53">
        <v>92.77</v>
      </c>
    </row>
    <row r="54" spans="1:10" x14ac:dyDescent="0.25">
      <c r="A54" t="s">
        <v>129</v>
      </c>
      <c r="B54" s="1">
        <v>45673</v>
      </c>
      <c r="C54" t="s">
        <v>130</v>
      </c>
      <c r="D54" t="s">
        <v>91</v>
      </c>
      <c r="E54" t="s">
        <v>13</v>
      </c>
      <c r="F54" t="s">
        <v>38</v>
      </c>
      <c r="G54">
        <v>2</v>
      </c>
      <c r="H54">
        <v>0.1</v>
      </c>
      <c r="I54">
        <v>54</v>
      </c>
      <c r="J54">
        <v>4.92</v>
      </c>
    </row>
    <row r="55" spans="1:10" x14ac:dyDescent="0.25">
      <c r="A55" t="s">
        <v>131</v>
      </c>
      <c r="B55" s="1">
        <v>45674</v>
      </c>
      <c r="C55" t="s">
        <v>132</v>
      </c>
      <c r="D55" t="s">
        <v>73</v>
      </c>
      <c r="E55" t="s">
        <v>74</v>
      </c>
      <c r="F55" t="s">
        <v>21</v>
      </c>
      <c r="G55">
        <v>2</v>
      </c>
      <c r="H55">
        <v>0.05</v>
      </c>
      <c r="I55">
        <v>15.2</v>
      </c>
      <c r="J55">
        <v>2.56</v>
      </c>
    </row>
    <row r="56" spans="1:10" x14ac:dyDescent="0.25">
      <c r="A56" t="s">
        <v>133</v>
      </c>
      <c r="B56" s="1">
        <v>45674</v>
      </c>
      <c r="C56" t="s">
        <v>66</v>
      </c>
      <c r="D56" t="s">
        <v>12</v>
      </c>
      <c r="E56" t="s">
        <v>13</v>
      </c>
      <c r="F56" t="s">
        <v>29</v>
      </c>
      <c r="G56">
        <v>5</v>
      </c>
      <c r="H56">
        <v>0.05</v>
      </c>
      <c r="I56">
        <v>261.25</v>
      </c>
      <c r="J56">
        <v>67.66</v>
      </c>
    </row>
    <row r="57" spans="1:10" x14ac:dyDescent="0.25">
      <c r="A57" t="s">
        <v>134</v>
      </c>
      <c r="B57" s="1">
        <v>45674</v>
      </c>
      <c r="C57" t="s">
        <v>135</v>
      </c>
      <c r="D57" t="s">
        <v>73</v>
      </c>
      <c r="E57" t="s">
        <v>74</v>
      </c>
      <c r="F57" t="s">
        <v>29</v>
      </c>
      <c r="G57">
        <v>1</v>
      </c>
      <c r="H57">
        <v>0.1</v>
      </c>
      <c r="I57">
        <v>7.2</v>
      </c>
      <c r="J57">
        <v>1.93</v>
      </c>
    </row>
    <row r="58" spans="1:10" x14ac:dyDescent="0.25">
      <c r="A58" t="s">
        <v>136</v>
      </c>
      <c r="B58" s="1">
        <v>45675</v>
      </c>
      <c r="C58" t="s">
        <v>137</v>
      </c>
      <c r="D58" t="s">
        <v>32</v>
      </c>
      <c r="E58" t="s">
        <v>28</v>
      </c>
      <c r="F58" t="s">
        <v>14</v>
      </c>
      <c r="G58">
        <v>4</v>
      </c>
      <c r="H58">
        <v>0.1</v>
      </c>
      <c r="I58">
        <v>1800</v>
      </c>
      <c r="J58">
        <v>384.61</v>
      </c>
    </row>
    <row r="59" spans="1:10" x14ac:dyDescent="0.25">
      <c r="A59" t="s">
        <v>138</v>
      </c>
      <c r="B59" s="1">
        <v>45675</v>
      </c>
      <c r="C59" t="s">
        <v>139</v>
      </c>
      <c r="D59" t="s">
        <v>73</v>
      </c>
      <c r="E59" t="s">
        <v>74</v>
      </c>
      <c r="F59" t="s">
        <v>21</v>
      </c>
      <c r="G59">
        <v>5</v>
      </c>
      <c r="H59">
        <v>0.15</v>
      </c>
      <c r="I59">
        <v>34</v>
      </c>
      <c r="J59">
        <v>2.3199999999999998</v>
      </c>
    </row>
    <row r="60" spans="1:10" x14ac:dyDescent="0.25">
      <c r="A60" t="s">
        <v>140</v>
      </c>
      <c r="B60" s="1">
        <v>45675</v>
      </c>
      <c r="C60" t="s">
        <v>141</v>
      </c>
      <c r="D60" t="s">
        <v>81</v>
      </c>
      <c r="E60" t="s">
        <v>13</v>
      </c>
      <c r="F60" t="s">
        <v>29</v>
      </c>
      <c r="G60">
        <v>3</v>
      </c>
      <c r="H60">
        <v>0</v>
      </c>
      <c r="I60">
        <v>135</v>
      </c>
      <c r="J60">
        <v>37.200000000000003</v>
      </c>
    </row>
    <row r="61" spans="1:10" x14ac:dyDescent="0.25">
      <c r="A61" t="s">
        <v>142</v>
      </c>
      <c r="B61" s="1">
        <v>45675</v>
      </c>
      <c r="C61" t="s">
        <v>143</v>
      </c>
      <c r="D61" t="s">
        <v>24</v>
      </c>
      <c r="E61" t="s">
        <v>20</v>
      </c>
      <c r="F61" t="s">
        <v>38</v>
      </c>
      <c r="G61">
        <v>4</v>
      </c>
      <c r="H61">
        <v>0.15</v>
      </c>
      <c r="I61">
        <v>748</v>
      </c>
      <c r="J61">
        <v>168.19</v>
      </c>
    </row>
    <row r="62" spans="1:10" x14ac:dyDescent="0.25">
      <c r="A62" t="s">
        <v>144</v>
      </c>
      <c r="B62" s="1">
        <v>45676</v>
      </c>
      <c r="C62" t="s">
        <v>145</v>
      </c>
      <c r="D62" t="s">
        <v>12</v>
      </c>
      <c r="E62" t="s">
        <v>13</v>
      </c>
      <c r="F62" t="s">
        <v>21</v>
      </c>
      <c r="G62">
        <v>4</v>
      </c>
      <c r="H62">
        <v>0</v>
      </c>
      <c r="I62">
        <v>220</v>
      </c>
      <c r="J62">
        <v>40.94</v>
      </c>
    </row>
    <row r="63" spans="1:10" x14ac:dyDescent="0.25">
      <c r="A63" t="s">
        <v>146</v>
      </c>
      <c r="B63" s="1">
        <v>45676</v>
      </c>
      <c r="C63" t="s">
        <v>128</v>
      </c>
      <c r="D63" t="s">
        <v>32</v>
      </c>
      <c r="E63" t="s">
        <v>28</v>
      </c>
      <c r="F63" t="s">
        <v>38</v>
      </c>
      <c r="G63">
        <v>1</v>
      </c>
      <c r="H63">
        <v>0.05</v>
      </c>
      <c r="I63">
        <v>475</v>
      </c>
      <c r="J63">
        <v>121.65</v>
      </c>
    </row>
    <row r="64" spans="1:10" x14ac:dyDescent="0.25">
      <c r="A64" t="s">
        <v>147</v>
      </c>
      <c r="B64" s="1">
        <v>45676</v>
      </c>
      <c r="C64" t="s">
        <v>130</v>
      </c>
      <c r="D64" t="s">
        <v>73</v>
      </c>
      <c r="E64" t="s">
        <v>74</v>
      </c>
      <c r="F64" t="s">
        <v>14</v>
      </c>
      <c r="G64">
        <v>5</v>
      </c>
      <c r="H64">
        <v>0</v>
      </c>
      <c r="I64">
        <v>40</v>
      </c>
      <c r="J64">
        <v>14.55</v>
      </c>
    </row>
    <row r="65" spans="1:10" x14ac:dyDescent="0.25">
      <c r="A65" t="s">
        <v>148</v>
      </c>
      <c r="B65" s="1">
        <v>45677</v>
      </c>
      <c r="C65" t="s">
        <v>149</v>
      </c>
      <c r="D65" t="s">
        <v>24</v>
      </c>
      <c r="E65" t="s">
        <v>20</v>
      </c>
      <c r="F65" t="s">
        <v>29</v>
      </c>
      <c r="G65">
        <v>1</v>
      </c>
      <c r="H65">
        <v>0</v>
      </c>
      <c r="I65">
        <v>220</v>
      </c>
      <c r="J65">
        <v>76.72</v>
      </c>
    </row>
    <row r="66" spans="1:10" x14ac:dyDescent="0.25">
      <c r="A66" t="s">
        <v>150</v>
      </c>
      <c r="B66" s="1">
        <v>45677</v>
      </c>
      <c r="C66" t="s">
        <v>151</v>
      </c>
      <c r="D66" t="s">
        <v>81</v>
      </c>
      <c r="E66" t="s">
        <v>13</v>
      </c>
      <c r="F66" t="s">
        <v>14</v>
      </c>
      <c r="G66">
        <v>1</v>
      </c>
      <c r="H66">
        <v>0.1</v>
      </c>
      <c r="I66">
        <v>40.5</v>
      </c>
      <c r="J66">
        <v>10.08</v>
      </c>
    </row>
    <row r="67" spans="1:10" x14ac:dyDescent="0.25">
      <c r="A67" t="s">
        <v>152</v>
      </c>
      <c r="B67" s="1">
        <v>45677</v>
      </c>
      <c r="C67" t="s">
        <v>153</v>
      </c>
      <c r="D67" t="s">
        <v>12</v>
      </c>
      <c r="E67" t="s">
        <v>13</v>
      </c>
      <c r="F67" t="s">
        <v>21</v>
      </c>
      <c r="G67">
        <v>5</v>
      </c>
      <c r="H67">
        <v>0.1</v>
      </c>
      <c r="I67">
        <v>247.5</v>
      </c>
      <c r="J67">
        <v>53.92</v>
      </c>
    </row>
    <row r="68" spans="1:10" x14ac:dyDescent="0.25">
      <c r="A68" t="s">
        <v>154</v>
      </c>
      <c r="B68" s="1">
        <v>45678</v>
      </c>
      <c r="C68" t="s">
        <v>155</v>
      </c>
      <c r="D68" t="s">
        <v>32</v>
      </c>
      <c r="E68" t="s">
        <v>28</v>
      </c>
      <c r="F68" t="s">
        <v>14</v>
      </c>
      <c r="G68">
        <v>5</v>
      </c>
      <c r="H68">
        <v>0</v>
      </c>
      <c r="I68">
        <v>2500</v>
      </c>
      <c r="J68">
        <v>779.06</v>
      </c>
    </row>
    <row r="69" spans="1:10" x14ac:dyDescent="0.25">
      <c r="A69" t="s">
        <v>156</v>
      </c>
      <c r="B69" s="1">
        <v>45678</v>
      </c>
      <c r="C69" t="s">
        <v>97</v>
      </c>
      <c r="D69" t="s">
        <v>27</v>
      </c>
      <c r="E69" t="s">
        <v>28</v>
      </c>
      <c r="F69" t="s">
        <v>29</v>
      </c>
      <c r="G69">
        <v>4</v>
      </c>
      <c r="H69">
        <v>0</v>
      </c>
      <c r="I69">
        <v>2600</v>
      </c>
      <c r="J69">
        <v>979.08</v>
      </c>
    </row>
    <row r="70" spans="1:10" x14ac:dyDescent="0.25">
      <c r="A70" t="s">
        <v>157</v>
      </c>
      <c r="B70" s="1">
        <v>45678</v>
      </c>
      <c r="C70" t="s">
        <v>158</v>
      </c>
      <c r="D70" t="s">
        <v>27</v>
      </c>
      <c r="E70" t="s">
        <v>28</v>
      </c>
      <c r="F70" t="s">
        <v>21</v>
      </c>
      <c r="G70">
        <v>5</v>
      </c>
      <c r="H70">
        <v>0.05</v>
      </c>
      <c r="I70">
        <v>3087.5</v>
      </c>
      <c r="J70">
        <v>672.2</v>
      </c>
    </row>
    <row r="71" spans="1:10" x14ac:dyDescent="0.25">
      <c r="A71" t="s">
        <v>159</v>
      </c>
      <c r="B71" s="1">
        <v>45678</v>
      </c>
      <c r="C71" t="s">
        <v>160</v>
      </c>
      <c r="D71" t="s">
        <v>19</v>
      </c>
      <c r="E71" t="s">
        <v>20</v>
      </c>
      <c r="F71" t="s">
        <v>29</v>
      </c>
      <c r="G71">
        <v>2</v>
      </c>
      <c r="H71">
        <v>0.1</v>
      </c>
      <c r="I71">
        <v>324</v>
      </c>
      <c r="J71">
        <v>64.569999999999993</v>
      </c>
    </row>
    <row r="72" spans="1:10" x14ac:dyDescent="0.25">
      <c r="A72" t="s">
        <v>161</v>
      </c>
      <c r="B72" s="1">
        <v>45679</v>
      </c>
      <c r="C72" t="s">
        <v>162</v>
      </c>
      <c r="D72" t="s">
        <v>24</v>
      </c>
      <c r="E72" t="s">
        <v>20</v>
      </c>
      <c r="F72" t="s">
        <v>21</v>
      </c>
      <c r="G72">
        <v>5</v>
      </c>
      <c r="H72">
        <v>0</v>
      </c>
      <c r="I72">
        <v>1100</v>
      </c>
      <c r="J72">
        <v>402.47</v>
      </c>
    </row>
    <row r="73" spans="1:10" x14ac:dyDescent="0.25">
      <c r="A73" t="s">
        <v>163</v>
      </c>
      <c r="B73" s="1">
        <v>45679</v>
      </c>
      <c r="C73" t="s">
        <v>78</v>
      </c>
      <c r="D73" t="s">
        <v>27</v>
      </c>
      <c r="E73" t="s">
        <v>28</v>
      </c>
      <c r="F73" t="s">
        <v>29</v>
      </c>
      <c r="G73">
        <v>4</v>
      </c>
      <c r="H73">
        <v>0.1</v>
      </c>
      <c r="I73">
        <v>2340</v>
      </c>
      <c r="J73">
        <v>239.08</v>
      </c>
    </row>
    <row r="74" spans="1:10" x14ac:dyDescent="0.25">
      <c r="A74" t="s">
        <v>164</v>
      </c>
      <c r="B74" s="1">
        <v>45679</v>
      </c>
      <c r="C74" t="s">
        <v>165</v>
      </c>
      <c r="D74" t="s">
        <v>37</v>
      </c>
      <c r="E74" t="s">
        <v>28</v>
      </c>
      <c r="F74" t="s">
        <v>38</v>
      </c>
      <c r="G74">
        <v>3</v>
      </c>
      <c r="H74">
        <v>0.1</v>
      </c>
      <c r="I74">
        <v>216</v>
      </c>
      <c r="J74">
        <v>45.2</v>
      </c>
    </row>
    <row r="75" spans="1:10" x14ac:dyDescent="0.25">
      <c r="A75" t="s">
        <v>166</v>
      </c>
      <c r="B75" s="1">
        <v>45680</v>
      </c>
      <c r="C75" t="s">
        <v>167</v>
      </c>
      <c r="D75" t="s">
        <v>24</v>
      </c>
      <c r="E75" t="s">
        <v>20</v>
      </c>
      <c r="F75" t="s">
        <v>29</v>
      </c>
      <c r="G75">
        <v>4</v>
      </c>
      <c r="H75">
        <v>0.05</v>
      </c>
      <c r="I75">
        <v>836</v>
      </c>
      <c r="J75">
        <v>121.23</v>
      </c>
    </row>
    <row r="76" spans="1:10" x14ac:dyDescent="0.25">
      <c r="A76" t="s">
        <v>168</v>
      </c>
      <c r="B76" s="1">
        <v>45680</v>
      </c>
      <c r="C76" t="s">
        <v>169</v>
      </c>
      <c r="D76" t="s">
        <v>37</v>
      </c>
      <c r="E76" t="s">
        <v>28</v>
      </c>
      <c r="F76" t="s">
        <v>29</v>
      </c>
      <c r="G76">
        <v>5</v>
      </c>
      <c r="H76">
        <v>0</v>
      </c>
      <c r="I76">
        <v>400</v>
      </c>
      <c r="J76">
        <v>97.36</v>
      </c>
    </row>
    <row r="77" spans="1:10" x14ac:dyDescent="0.25">
      <c r="A77" t="s">
        <v>170</v>
      </c>
      <c r="B77" s="1">
        <v>45680</v>
      </c>
      <c r="C77" t="s">
        <v>171</v>
      </c>
      <c r="D77" t="s">
        <v>73</v>
      </c>
      <c r="E77" t="s">
        <v>74</v>
      </c>
      <c r="F77" t="s">
        <v>38</v>
      </c>
      <c r="G77">
        <v>2</v>
      </c>
      <c r="H77">
        <v>0</v>
      </c>
      <c r="I77">
        <v>16</v>
      </c>
      <c r="J77">
        <v>3.47</v>
      </c>
    </row>
    <row r="78" spans="1:10" x14ac:dyDescent="0.25">
      <c r="A78" t="s">
        <v>172</v>
      </c>
      <c r="B78" s="1">
        <v>45681</v>
      </c>
      <c r="C78" t="s">
        <v>173</v>
      </c>
      <c r="D78" t="s">
        <v>19</v>
      </c>
      <c r="E78" t="s">
        <v>20</v>
      </c>
      <c r="F78" t="s">
        <v>14</v>
      </c>
      <c r="G78">
        <v>2</v>
      </c>
      <c r="H78">
        <v>0.1</v>
      </c>
      <c r="I78">
        <v>324</v>
      </c>
      <c r="J78">
        <v>55.52</v>
      </c>
    </row>
    <row r="79" spans="1:10" x14ac:dyDescent="0.25">
      <c r="A79" t="s">
        <v>174</v>
      </c>
      <c r="B79" s="1">
        <v>45681</v>
      </c>
      <c r="C79" t="s">
        <v>175</v>
      </c>
      <c r="D79" t="s">
        <v>50</v>
      </c>
      <c r="E79" t="s">
        <v>28</v>
      </c>
      <c r="F79" t="s">
        <v>38</v>
      </c>
      <c r="G79">
        <v>4</v>
      </c>
      <c r="H79">
        <v>0</v>
      </c>
      <c r="I79">
        <v>960</v>
      </c>
      <c r="J79">
        <v>220.68</v>
      </c>
    </row>
    <row r="80" spans="1:10" x14ac:dyDescent="0.25">
      <c r="A80" t="s">
        <v>176</v>
      </c>
      <c r="B80" s="1">
        <v>45681</v>
      </c>
      <c r="C80" t="s">
        <v>177</v>
      </c>
      <c r="D80" t="s">
        <v>27</v>
      </c>
      <c r="E80" t="s">
        <v>28</v>
      </c>
      <c r="F80" t="s">
        <v>29</v>
      </c>
      <c r="G80">
        <v>3</v>
      </c>
      <c r="H80">
        <v>0.05</v>
      </c>
      <c r="I80">
        <v>1852.5</v>
      </c>
      <c r="J80">
        <v>498.41</v>
      </c>
    </row>
    <row r="81" spans="1:10" x14ac:dyDescent="0.25">
      <c r="A81" t="s">
        <v>178</v>
      </c>
      <c r="B81" s="1">
        <v>45681</v>
      </c>
      <c r="C81" t="s">
        <v>179</v>
      </c>
      <c r="D81" t="s">
        <v>12</v>
      </c>
      <c r="E81" t="s">
        <v>13</v>
      </c>
      <c r="F81" t="s">
        <v>14</v>
      </c>
      <c r="G81">
        <v>5</v>
      </c>
      <c r="H81">
        <v>0</v>
      </c>
      <c r="I81">
        <v>275</v>
      </c>
      <c r="J81">
        <v>67.11</v>
      </c>
    </row>
    <row r="82" spans="1:10" x14ac:dyDescent="0.25">
      <c r="A82" t="s">
        <v>180</v>
      </c>
      <c r="B82" s="1">
        <v>45682</v>
      </c>
      <c r="C82" t="s">
        <v>181</v>
      </c>
      <c r="D82" t="s">
        <v>32</v>
      </c>
      <c r="E82" t="s">
        <v>28</v>
      </c>
      <c r="F82" t="s">
        <v>29</v>
      </c>
      <c r="G82">
        <v>1</v>
      </c>
      <c r="H82">
        <v>0.05</v>
      </c>
      <c r="I82">
        <v>475</v>
      </c>
      <c r="J82">
        <v>111.57</v>
      </c>
    </row>
    <row r="83" spans="1:10" x14ac:dyDescent="0.25">
      <c r="A83" t="s">
        <v>182</v>
      </c>
      <c r="B83" s="1">
        <v>45682</v>
      </c>
      <c r="C83" t="s">
        <v>105</v>
      </c>
      <c r="D83" t="s">
        <v>50</v>
      </c>
      <c r="E83" t="s">
        <v>28</v>
      </c>
      <c r="F83" t="s">
        <v>38</v>
      </c>
      <c r="G83">
        <v>5</v>
      </c>
      <c r="H83">
        <v>0.15</v>
      </c>
      <c r="I83">
        <v>1020</v>
      </c>
      <c r="J83">
        <v>182.59</v>
      </c>
    </row>
    <row r="84" spans="1:10" x14ac:dyDescent="0.25">
      <c r="A84" t="s">
        <v>183</v>
      </c>
      <c r="B84" s="1">
        <v>45682</v>
      </c>
      <c r="C84" t="s">
        <v>184</v>
      </c>
      <c r="D84" t="s">
        <v>50</v>
      </c>
      <c r="E84" t="s">
        <v>28</v>
      </c>
      <c r="F84" t="s">
        <v>14</v>
      </c>
      <c r="G84">
        <v>4</v>
      </c>
      <c r="H84">
        <v>0.2</v>
      </c>
      <c r="I84">
        <v>768</v>
      </c>
      <c r="J84">
        <v>-9.7200000000000006</v>
      </c>
    </row>
    <row r="85" spans="1:10" x14ac:dyDescent="0.25">
      <c r="A85" t="s">
        <v>185</v>
      </c>
      <c r="B85" s="1">
        <v>45683</v>
      </c>
      <c r="C85" t="s">
        <v>141</v>
      </c>
      <c r="D85" t="s">
        <v>24</v>
      </c>
      <c r="E85" t="s">
        <v>20</v>
      </c>
      <c r="F85" t="s">
        <v>38</v>
      </c>
      <c r="G85">
        <v>3</v>
      </c>
      <c r="H85">
        <v>0.1</v>
      </c>
      <c r="I85">
        <v>594</v>
      </c>
      <c r="J85">
        <v>111.71</v>
      </c>
    </row>
    <row r="86" spans="1:10" x14ac:dyDescent="0.25">
      <c r="A86" t="s">
        <v>186</v>
      </c>
      <c r="B86" s="1">
        <v>45683</v>
      </c>
      <c r="C86" t="s">
        <v>187</v>
      </c>
      <c r="D86" t="s">
        <v>50</v>
      </c>
      <c r="E86" t="s">
        <v>28</v>
      </c>
      <c r="F86" t="s">
        <v>21</v>
      </c>
      <c r="G86">
        <v>5</v>
      </c>
      <c r="H86">
        <v>0.2</v>
      </c>
      <c r="I86">
        <v>960</v>
      </c>
      <c r="J86">
        <v>-17.82</v>
      </c>
    </row>
    <row r="87" spans="1:10" x14ac:dyDescent="0.25">
      <c r="A87" t="s">
        <v>188</v>
      </c>
      <c r="B87" s="1">
        <v>45683</v>
      </c>
      <c r="C87" t="s">
        <v>189</v>
      </c>
      <c r="D87" t="s">
        <v>24</v>
      </c>
      <c r="E87" t="s">
        <v>20</v>
      </c>
      <c r="F87" t="s">
        <v>38</v>
      </c>
      <c r="G87">
        <v>3</v>
      </c>
      <c r="H87">
        <v>0.15</v>
      </c>
      <c r="I87">
        <v>561</v>
      </c>
      <c r="J87">
        <v>105.48</v>
      </c>
    </row>
    <row r="88" spans="1:10" x14ac:dyDescent="0.25">
      <c r="A88" t="s">
        <v>190</v>
      </c>
      <c r="B88" s="1">
        <v>45684</v>
      </c>
      <c r="C88" t="s">
        <v>191</v>
      </c>
      <c r="D88" t="s">
        <v>50</v>
      </c>
      <c r="E88" t="s">
        <v>28</v>
      </c>
      <c r="F88" t="s">
        <v>38</v>
      </c>
      <c r="G88">
        <v>2</v>
      </c>
      <c r="H88">
        <v>0.15</v>
      </c>
      <c r="I88">
        <v>408</v>
      </c>
      <c r="J88">
        <v>27.18</v>
      </c>
    </row>
    <row r="89" spans="1:10" x14ac:dyDescent="0.25">
      <c r="A89" t="s">
        <v>192</v>
      </c>
      <c r="B89" s="1">
        <v>45684</v>
      </c>
      <c r="C89" t="s">
        <v>111</v>
      </c>
      <c r="D89" t="s">
        <v>91</v>
      </c>
      <c r="E89" t="s">
        <v>13</v>
      </c>
      <c r="F89" t="s">
        <v>14</v>
      </c>
      <c r="G89">
        <v>2</v>
      </c>
      <c r="H89">
        <v>0.05</v>
      </c>
      <c r="I89">
        <v>57</v>
      </c>
      <c r="J89">
        <v>9.1</v>
      </c>
    </row>
    <row r="90" spans="1:10" x14ac:dyDescent="0.25">
      <c r="A90" t="s">
        <v>193</v>
      </c>
      <c r="B90" s="1">
        <v>45684</v>
      </c>
      <c r="C90" t="s">
        <v>194</v>
      </c>
      <c r="D90" t="s">
        <v>24</v>
      </c>
      <c r="E90" t="s">
        <v>20</v>
      </c>
      <c r="F90" t="s">
        <v>38</v>
      </c>
      <c r="G90">
        <v>3</v>
      </c>
      <c r="H90">
        <v>0.1</v>
      </c>
      <c r="I90">
        <v>594</v>
      </c>
      <c r="J90">
        <v>70.87</v>
      </c>
    </row>
    <row r="91" spans="1:10" x14ac:dyDescent="0.25">
      <c r="A91" t="s">
        <v>195</v>
      </c>
      <c r="B91" s="1">
        <v>45685</v>
      </c>
      <c r="C91" t="s">
        <v>196</v>
      </c>
      <c r="D91" t="s">
        <v>12</v>
      </c>
      <c r="E91" t="s">
        <v>13</v>
      </c>
      <c r="F91" t="s">
        <v>38</v>
      </c>
      <c r="G91">
        <v>1</v>
      </c>
      <c r="H91">
        <v>0.1</v>
      </c>
      <c r="I91">
        <v>49.5</v>
      </c>
      <c r="J91">
        <v>11.55</v>
      </c>
    </row>
    <row r="92" spans="1:10" x14ac:dyDescent="0.25">
      <c r="A92" t="s">
        <v>197</v>
      </c>
      <c r="B92" s="1">
        <v>45685</v>
      </c>
      <c r="C92" t="s">
        <v>198</v>
      </c>
      <c r="D92" t="s">
        <v>32</v>
      </c>
      <c r="E92" t="s">
        <v>28</v>
      </c>
      <c r="F92" t="s">
        <v>21</v>
      </c>
      <c r="G92">
        <v>5</v>
      </c>
      <c r="H92">
        <v>0.05</v>
      </c>
      <c r="I92">
        <v>2375</v>
      </c>
      <c r="J92">
        <v>472.46</v>
      </c>
    </row>
    <row r="93" spans="1:10" x14ac:dyDescent="0.25">
      <c r="A93" t="s">
        <v>199</v>
      </c>
      <c r="B93" s="1">
        <v>45685</v>
      </c>
      <c r="C93" t="s">
        <v>200</v>
      </c>
      <c r="D93" t="s">
        <v>32</v>
      </c>
      <c r="E93" t="s">
        <v>28</v>
      </c>
      <c r="F93" t="s">
        <v>21</v>
      </c>
      <c r="G93">
        <v>3</v>
      </c>
      <c r="H93">
        <v>0.05</v>
      </c>
      <c r="I93">
        <v>1425</v>
      </c>
      <c r="J93">
        <v>373.44</v>
      </c>
    </row>
    <row r="94" spans="1:10" x14ac:dyDescent="0.25">
      <c r="A94" t="s">
        <v>201</v>
      </c>
      <c r="B94" s="1">
        <v>45685</v>
      </c>
      <c r="C94" t="s">
        <v>202</v>
      </c>
      <c r="D94" t="s">
        <v>19</v>
      </c>
      <c r="E94" t="s">
        <v>20</v>
      </c>
      <c r="F94" t="s">
        <v>38</v>
      </c>
      <c r="G94">
        <v>4</v>
      </c>
      <c r="H94">
        <v>0.15</v>
      </c>
      <c r="I94">
        <v>612</v>
      </c>
      <c r="J94">
        <v>47.12</v>
      </c>
    </row>
    <row r="95" spans="1:10" x14ac:dyDescent="0.25">
      <c r="A95" t="s">
        <v>203</v>
      </c>
      <c r="B95" s="1">
        <v>45686</v>
      </c>
      <c r="C95" t="s">
        <v>204</v>
      </c>
      <c r="D95" t="s">
        <v>50</v>
      </c>
      <c r="E95" t="s">
        <v>28</v>
      </c>
      <c r="F95" t="s">
        <v>21</v>
      </c>
      <c r="G95">
        <v>4</v>
      </c>
      <c r="H95">
        <v>0.05</v>
      </c>
      <c r="I95">
        <v>912</v>
      </c>
      <c r="J95">
        <v>150.03</v>
      </c>
    </row>
    <row r="96" spans="1:10" x14ac:dyDescent="0.25">
      <c r="A96" t="s">
        <v>205</v>
      </c>
      <c r="B96" s="1">
        <v>45686</v>
      </c>
      <c r="C96" t="s">
        <v>206</v>
      </c>
      <c r="D96" t="s">
        <v>73</v>
      </c>
      <c r="E96" t="s">
        <v>74</v>
      </c>
      <c r="F96" t="s">
        <v>29</v>
      </c>
      <c r="G96">
        <v>4</v>
      </c>
      <c r="H96">
        <v>0.2</v>
      </c>
      <c r="I96">
        <v>25.6</v>
      </c>
      <c r="J96">
        <v>2.2000000000000002</v>
      </c>
    </row>
    <row r="97" spans="1:10" x14ac:dyDescent="0.25">
      <c r="A97" t="s">
        <v>207</v>
      </c>
      <c r="B97" s="1">
        <v>45686</v>
      </c>
      <c r="C97" t="s">
        <v>208</v>
      </c>
      <c r="D97" t="s">
        <v>81</v>
      </c>
      <c r="E97" t="s">
        <v>13</v>
      </c>
      <c r="F97" t="s">
        <v>38</v>
      </c>
      <c r="G97">
        <v>5</v>
      </c>
      <c r="H97">
        <v>0.2</v>
      </c>
      <c r="I97">
        <v>180</v>
      </c>
      <c r="J97">
        <v>37.18</v>
      </c>
    </row>
    <row r="98" spans="1:10" x14ac:dyDescent="0.25">
      <c r="A98" t="s">
        <v>209</v>
      </c>
      <c r="B98" s="1">
        <v>45687</v>
      </c>
      <c r="C98" t="s">
        <v>210</v>
      </c>
      <c r="D98" t="s">
        <v>19</v>
      </c>
      <c r="E98" t="s">
        <v>20</v>
      </c>
      <c r="F98" t="s">
        <v>38</v>
      </c>
      <c r="G98">
        <v>1</v>
      </c>
      <c r="H98">
        <v>0.1</v>
      </c>
      <c r="I98">
        <v>162</v>
      </c>
      <c r="J98">
        <v>27.74</v>
      </c>
    </row>
    <row r="99" spans="1:10" x14ac:dyDescent="0.25">
      <c r="A99" t="s">
        <v>211</v>
      </c>
      <c r="B99" s="1">
        <v>45687</v>
      </c>
      <c r="C99" t="s">
        <v>212</v>
      </c>
      <c r="D99" t="s">
        <v>27</v>
      </c>
      <c r="E99" t="s">
        <v>28</v>
      </c>
      <c r="F99" t="s">
        <v>21</v>
      </c>
      <c r="G99">
        <v>5</v>
      </c>
      <c r="H99">
        <v>0.1</v>
      </c>
      <c r="I99">
        <v>2925</v>
      </c>
      <c r="J99">
        <v>660.27</v>
      </c>
    </row>
    <row r="100" spans="1:10" x14ac:dyDescent="0.25">
      <c r="A100" t="s">
        <v>213</v>
      </c>
      <c r="B100" s="1">
        <v>45687</v>
      </c>
      <c r="C100" t="s">
        <v>214</v>
      </c>
      <c r="D100" t="s">
        <v>91</v>
      </c>
      <c r="E100" t="s">
        <v>13</v>
      </c>
      <c r="F100" t="s">
        <v>29</v>
      </c>
      <c r="G100">
        <v>4</v>
      </c>
      <c r="H100">
        <v>0</v>
      </c>
      <c r="I100">
        <v>120</v>
      </c>
      <c r="J100">
        <v>37.54</v>
      </c>
    </row>
    <row r="101" spans="1:10" x14ac:dyDescent="0.25">
      <c r="A101" t="s">
        <v>215</v>
      </c>
      <c r="B101" s="1">
        <v>45688</v>
      </c>
      <c r="C101" t="s">
        <v>216</v>
      </c>
      <c r="D101" t="s">
        <v>19</v>
      </c>
      <c r="E101" t="s">
        <v>20</v>
      </c>
      <c r="F101" t="s">
        <v>29</v>
      </c>
      <c r="G101">
        <v>2</v>
      </c>
      <c r="H101">
        <v>0.05</v>
      </c>
      <c r="I101">
        <v>342</v>
      </c>
      <c r="J101">
        <v>102.28</v>
      </c>
    </row>
    <row r="102" spans="1:10" x14ac:dyDescent="0.25">
      <c r="A102" t="s">
        <v>217</v>
      </c>
      <c r="B102" s="1">
        <v>45688</v>
      </c>
      <c r="C102" t="s">
        <v>194</v>
      </c>
      <c r="D102" t="s">
        <v>24</v>
      </c>
      <c r="E102" t="s">
        <v>20</v>
      </c>
      <c r="F102" t="s">
        <v>14</v>
      </c>
      <c r="G102">
        <v>1</v>
      </c>
      <c r="H102">
        <v>0.05</v>
      </c>
      <c r="I102">
        <v>209</v>
      </c>
      <c r="J102">
        <v>52.66</v>
      </c>
    </row>
    <row r="103" spans="1:10" x14ac:dyDescent="0.25">
      <c r="A103" t="s">
        <v>218</v>
      </c>
      <c r="B103" s="1">
        <v>45688</v>
      </c>
      <c r="C103" t="s">
        <v>219</v>
      </c>
      <c r="D103" t="s">
        <v>27</v>
      </c>
      <c r="E103" t="s">
        <v>28</v>
      </c>
      <c r="F103" t="s">
        <v>38</v>
      </c>
      <c r="G103">
        <v>5</v>
      </c>
      <c r="H103">
        <v>0.15</v>
      </c>
      <c r="I103">
        <v>2762.5</v>
      </c>
      <c r="J103">
        <v>302.42</v>
      </c>
    </row>
    <row r="104" spans="1:10" x14ac:dyDescent="0.25">
      <c r="A104" t="s">
        <v>220</v>
      </c>
      <c r="B104" s="1">
        <v>45688</v>
      </c>
      <c r="C104" t="s">
        <v>221</v>
      </c>
      <c r="D104" t="s">
        <v>81</v>
      </c>
      <c r="E104" t="s">
        <v>13</v>
      </c>
      <c r="F104" t="s">
        <v>29</v>
      </c>
      <c r="G104">
        <v>2</v>
      </c>
      <c r="H104">
        <v>0.05</v>
      </c>
      <c r="I104">
        <v>85.5</v>
      </c>
      <c r="J104">
        <v>19.239999999999998</v>
      </c>
    </row>
    <row r="105" spans="1:10" x14ac:dyDescent="0.25">
      <c r="A105" t="s">
        <v>222</v>
      </c>
      <c r="B105" s="1">
        <v>45689</v>
      </c>
      <c r="C105" t="s">
        <v>113</v>
      </c>
      <c r="D105" t="s">
        <v>37</v>
      </c>
      <c r="E105" t="s">
        <v>28</v>
      </c>
      <c r="F105" t="s">
        <v>21</v>
      </c>
      <c r="G105">
        <v>3</v>
      </c>
      <c r="H105">
        <v>0</v>
      </c>
      <c r="I105">
        <v>240</v>
      </c>
      <c r="J105">
        <v>89.93</v>
      </c>
    </row>
    <row r="106" spans="1:10" x14ac:dyDescent="0.25">
      <c r="A106" t="s">
        <v>223</v>
      </c>
      <c r="B106" s="1">
        <v>45689</v>
      </c>
      <c r="C106" t="s">
        <v>224</v>
      </c>
      <c r="D106" t="s">
        <v>27</v>
      </c>
      <c r="E106" t="s">
        <v>28</v>
      </c>
      <c r="F106" t="s">
        <v>38</v>
      </c>
      <c r="G106">
        <v>2</v>
      </c>
      <c r="H106">
        <v>0.2</v>
      </c>
      <c r="I106">
        <v>1040</v>
      </c>
      <c r="J106">
        <v>194.89</v>
      </c>
    </row>
    <row r="107" spans="1:10" x14ac:dyDescent="0.25">
      <c r="A107" t="s">
        <v>225</v>
      </c>
      <c r="B107" s="1">
        <v>45689</v>
      </c>
      <c r="C107" t="s">
        <v>226</v>
      </c>
      <c r="D107" t="s">
        <v>50</v>
      </c>
      <c r="E107" t="s">
        <v>28</v>
      </c>
      <c r="F107" t="s">
        <v>14</v>
      </c>
      <c r="G107">
        <v>3</v>
      </c>
      <c r="H107">
        <v>0.15</v>
      </c>
      <c r="I107">
        <v>612</v>
      </c>
      <c r="J107">
        <v>44.88</v>
      </c>
    </row>
    <row r="108" spans="1:10" x14ac:dyDescent="0.25">
      <c r="A108" t="s">
        <v>227</v>
      </c>
      <c r="B108" s="1">
        <v>45690</v>
      </c>
      <c r="C108" t="s">
        <v>228</v>
      </c>
      <c r="D108" t="s">
        <v>32</v>
      </c>
      <c r="E108" t="s">
        <v>28</v>
      </c>
      <c r="F108" t="s">
        <v>38</v>
      </c>
      <c r="G108">
        <v>1</v>
      </c>
      <c r="H108">
        <v>0</v>
      </c>
      <c r="I108">
        <v>500</v>
      </c>
      <c r="J108">
        <v>182.46</v>
      </c>
    </row>
    <row r="109" spans="1:10" x14ac:dyDescent="0.25">
      <c r="A109" t="s">
        <v>229</v>
      </c>
      <c r="B109" s="1">
        <v>45690</v>
      </c>
      <c r="C109" t="s">
        <v>230</v>
      </c>
      <c r="D109" t="s">
        <v>24</v>
      </c>
      <c r="E109" t="s">
        <v>20</v>
      </c>
      <c r="F109" t="s">
        <v>21</v>
      </c>
      <c r="G109">
        <v>3</v>
      </c>
      <c r="H109">
        <v>0.1</v>
      </c>
      <c r="I109">
        <v>594</v>
      </c>
      <c r="J109">
        <v>83.29</v>
      </c>
    </row>
    <row r="110" spans="1:10" x14ac:dyDescent="0.25">
      <c r="A110" t="s">
        <v>231</v>
      </c>
      <c r="B110" s="1">
        <v>45690</v>
      </c>
      <c r="C110" t="s">
        <v>202</v>
      </c>
      <c r="D110" t="s">
        <v>73</v>
      </c>
      <c r="E110" t="s">
        <v>74</v>
      </c>
      <c r="F110" t="s">
        <v>38</v>
      </c>
      <c r="G110">
        <v>3</v>
      </c>
      <c r="H110">
        <v>0</v>
      </c>
      <c r="I110">
        <v>24</v>
      </c>
      <c r="J110">
        <v>6.96</v>
      </c>
    </row>
    <row r="111" spans="1:10" x14ac:dyDescent="0.25">
      <c r="A111" t="s">
        <v>232</v>
      </c>
      <c r="B111" s="1">
        <v>45691</v>
      </c>
      <c r="C111" t="s">
        <v>233</v>
      </c>
      <c r="D111" t="s">
        <v>19</v>
      </c>
      <c r="E111" t="s">
        <v>20</v>
      </c>
      <c r="F111" t="s">
        <v>29</v>
      </c>
      <c r="G111">
        <v>1</v>
      </c>
      <c r="H111">
        <v>0.1</v>
      </c>
      <c r="I111">
        <v>162</v>
      </c>
      <c r="J111">
        <v>28.15</v>
      </c>
    </row>
    <row r="112" spans="1:10" x14ac:dyDescent="0.25">
      <c r="A112" t="s">
        <v>234</v>
      </c>
      <c r="B112" s="1">
        <v>45691</v>
      </c>
      <c r="C112" t="s">
        <v>93</v>
      </c>
      <c r="D112" t="s">
        <v>12</v>
      </c>
      <c r="E112" t="s">
        <v>13</v>
      </c>
      <c r="F112" t="s">
        <v>38</v>
      </c>
      <c r="G112">
        <v>2</v>
      </c>
      <c r="H112">
        <v>0.05</v>
      </c>
      <c r="I112">
        <v>104.5</v>
      </c>
      <c r="J112">
        <v>25.82</v>
      </c>
    </row>
    <row r="113" spans="1:10" x14ac:dyDescent="0.25">
      <c r="A113" t="s">
        <v>235</v>
      </c>
      <c r="B113" s="1">
        <v>45691</v>
      </c>
      <c r="C113" t="s">
        <v>64</v>
      </c>
      <c r="D113" t="s">
        <v>37</v>
      </c>
      <c r="E113" t="s">
        <v>28</v>
      </c>
      <c r="F113" t="s">
        <v>38</v>
      </c>
      <c r="G113">
        <v>4</v>
      </c>
      <c r="H113">
        <v>0.15</v>
      </c>
      <c r="I113">
        <v>272</v>
      </c>
      <c r="J113">
        <v>11.65</v>
      </c>
    </row>
    <row r="114" spans="1:10" x14ac:dyDescent="0.25">
      <c r="A114" t="s">
        <v>236</v>
      </c>
      <c r="B114" s="1">
        <v>45692</v>
      </c>
      <c r="C114" t="s">
        <v>237</v>
      </c>
      <c r="D114" t="s">
        <v>50</v>
      </c>
      <c r="E114" t="s">
        <v>28</v>
      </c>
      <c r="F114" t="s">
        <v>14</v>
      </c>
      <c r="G114">
        <v>1</v>
      </c>
      <c r="H114">
        <v>0</v>
      </c>
      <c r="I114">
        <v>240</v>
      </c>
      <c r="J114">
        <v>89.82</v>
      </c>
    </row>
    <row r="115" spans="1:10" x14ac:dyDescent="0.25">
      <c r="A115" t="s">
        <v>238</v>
      </c>
      <c r="B115" s="1">
        <v>45692</v>
      </c>
      <c r="C115" t="s">
        <v>175</v>
      </c>
      <c r="D115" t="s">
        <v>24</v>
      </c>
      <c r="E115" t="s">
        <v>20</v>
      </c>
      <c r="F115" t="s">
        <v>29</v>
      </c>
      <c r="G115">
        <v>2</v>
      </c>
      <c r="H115">
        <v>0.15</v>
      </c>
      <c r="I115">
        <v>374</v>
      </c>
      <c r="J115">
        <v>21.72</v>
      </c>
    </row>
    <row r="116" spans="1:10" x14ac:dyDescent="0.25">
      <c r="A116" t="s">
        <v>239</v>
      </c>
      <c r="B116" s="1">
        <v>45692</v>
      </c>
      <c r="C116" t="s">
        <v>240</v>
      </c>
      <c r="D116" t="s">
        <v>37</v>
      </c>
      <c r="E116" t="s">
        <v>28</v>
      </c>
      <c r="F116" t="s">
        <v>21</v>
      </c>
      <c r="G116">
        <v>2</v>
      </c>
      <c r="H116">
        <v>0.1</v>
      </c>
      <c r="I116">
        <v>144</v>
      </c>
      <c r="J116">
        <v>32.25</v>
      </c>
    </row>
    <row r="117" spans="1:10" x14ac:dyDescent="0.25">
      <c r="A117" t="s">
        <v>241</v>
      </c>
      <c r="B117" s="1">
        <v>45692</v>
      </c>
      <c r="C117" t="s">
        <v>52</v>
      </c>
      <c r="D117" t="s">
        <v>27</v>
      </c>
      <c r="E117" t="s">
        <v>28</v>
      </c>
      <c r="F117" t="s">
        <v>14</v>
      </c>
      <c r="G117">
        <v>4</v>
      </c>
      <c r="H117">
        <v>0.05</v>
      </c>
      <c r="I117">
        <v>2470</v>
      </c>
      <c r="J117">
        <v>585.73</v>
      </c>
    </row>
    <row r="118" spans="1:10" x14ac:dyDescent="0.25">
      <c r="A118" t="s">
        <v>242</v>
      </c>
      <c r="B118" s="1">
        <v>45693</v>
      </c>
      <c r="C118" t="s">
        <v>243</v>
      </c>
      <c r="D118" t="s">
        <v>19</v>
      </c>
      <c r="E118" t="s">
        <v>20</v>
      </c>
      <c r="F118" t="s">
        <v>21</v>
      </c>
      <c r="G118">
        <v>2</v>
      </c>
      <c r="H118">
        <v>0.2</v>
      </c>
      <c r="I118">
        <v>288</v>
      </c>
      <c r="J118">
        <v>29.37</v>
      </c>
    </row>
    <row r="119" spans="1:10" x14ac:dyDescent="0.25">
      <c r="A119" t="s">
        <v>244</v>
      </c>
      <c r="B119" s="1">
        <v>45693</v>
      </c>
      <c r="C119" t="s">
        <v>167</v>
      </c>
      <c r="D119" t="s">
        <v>81</v>
      </c>
      <c r="E119" t="s">
        <v>13</v>
      </c>
      <c r="F119" t="s">
        <v>29</v>
      </c>
      <c r="G119">
        <v>5</v>
      </c>
      <c r="H119">
        <v>0.05</v>
      </c>
      <c r="I119">
        <v>213.75</v>
      </c>
      <c r="J119">
        <v>64.84</v>
      </c>
    </row>
    <row r="120" spans="1:10" x14ac:dyDescent="0.25">
      <c r="A120" t="s">
        <v>245</v>
      </c>
      <c r="B120" s="1">
        <v>45693</v>
      </c>
      <c r="C120" t="s">
        <v>246</v>
      </c>
      <c r="D120" t="s">
        <v>32</v>
      </c>
      <c r="E120" t="s">
        <v>28</v>
      </c>
      <c r="F120" t="s">
        <v>29</v>
      </c>
      <c r="G120">
        <v>1</v>
      </c>
      <c r="H120">
        <v>0.05</v>
      </c>
      <c r="I120">
        <v>475</v>
      </c>
      <c r="J120">
        <v>106.52</v>
      </c>
    </row>
    <row r="121" spans="1:10" x14ac:dyDescent="0.25">
      <c r="A121" t="s">
        <v>247</v>
      </c>
      <c r="B121" s="1">
        <v>45694</v>
      </c>
      <c r="C121" t="s">
        <v>115</v>
      </c>
      <c r="D121" t="s">
        <v>91</v>
      </c>
      <c r="E121" t="s">
        <v>13</v>
      </c>
      <c r="F121" t="s">
        <v>38</v>
      </c>
      <c r="G121">
        <v>4</v>
      </c>
      <c r="H121">
        <v>0.05</v>
      </c>
      <c r="I121">
        <v>114</v>
      </c>
      <c r="J121">
        <v>18.079999999999998</v>
      </c>
    </row>
    <row r="122" spans="1:10" x14ac:dyDescent="0.25">
      <c r="A122" t="s">
        <v>248</v>
      </c>
      <c r="B122" s="1">
        <v>45694</v>
      </c>
      <c r="C122" t="s">
        <v>60</v>
      </c>
      <c r="D122" t="s">
        <v>37</v>
      </c>
      <c r="E122" t="s">
        <v>28</v>
      </c>
      <c r="F122" t="s">
        <v>21</v>
      </c>
      <c r="G122">
        <v>5</v>
      </c>
      <c r="H122">
        <v>0</v>
      </c>
      <c r="I122">
        <v>400</v>
      </c>
      <c r="J122">
        <v>148.72999999999999</v>
      </c>
    </row>
    <row r="123" spans="1:10" x14ac:dyDescent="0.25">
      <c r="A123" t="s">
        <v>249</v>
      </c>
      <c r="B123" s="1">
        <v>45694</v>
      </c>
      <c r="C123" t="s">
        <v>250</v>
      </c>
      <c r="D123" t="s">
        <v>73</v>
      </c>
      <c r="E123" t="s">
        <v>74</v>
      </c>
      <c r="F123" t="s">
        <v>14</v>
      </c>
      <c r="G123">
        <v>5</v>
      </c>
      <c r="H123">
        <v>0</v>
      </c>
      <c r="I123">
        <v>40</v>
      </c>
      <c r="J123">
        <v>10.81</v>
      </c>
    </row>
    <row r="124" spans="1:10" x14ac:dyDescent="0.25">
      <c r="A124" t="s">
        <v>251</v>
      </c>
      <c r="B124" s="1">
        <v>45695</v>
      </c>
      <c r="C124" t="s">
        <v>252</v>
      </c>
      <c r="D124" t="s">
        <v>73</v>
      </c>
      <c r="E124" t="s">
        <v>74</v>
      </c>
      <c r="F124" t="s">
        <v>21</v>
      </c>
      <c r="G124">
        <v>2</v>
      </c>
      <c r="H124">
        <v>0</v>
      </c>
      <c r="I124">
        <v>16</v>
      </c>
      <c r="J124">
        <v>5.0199999999999996</v>
      </c>
    </row>
    <row r="125" spans="1:10" x14ac:dyDescent="0.25">
      <c r="A125" t="s">
        <v>253</v>
      </c>
      <c r="B125" s="1">
        <v>45695</v>
      </c>
      <c r="C125" t="s">
        <v>254</v>
      </c>
      <c r="D125" t="s">
        <v>50</v>
      </c>
      <c r="E125" t="s">
        <v>28</v>
      </c>
      <c r="F125" t="s">
        <v>38</v>
      </c>
      <c r="G125">
        <v>1</v>
      </c>
      <c r="H125">
        <v>0.1</v>
      </c>
      <c r="I125">
        <v>216</v>
      </c>
      <c r="J125">
        <v>42.64</v>
      </c>
    </row>
    <row r="126" spans="1:10" x14ac:dyDescent="0.25">
      <c r="A126" t="s">
        <v>255</v>
      </c>
      <c r="B126" s="1">
        <v>45695</v>
      </c>
      <c r="C126" t="s">
        <v>256</v>
      </c>
      <c r="D126" t="s">
        <v>27</v>
      </c>
      <c r="E126" t="s">
        <v>28</v>
      </c>
      <c r="F126" t="s">
        <v>29</v>
      </c>
      <c r="G126">
        <v>2</v>
      </c>
      <c r="H126">
        <v>0.15</v>
      </c>
      <c r="I126">
        <v>1105</v>
      </c>
      <c r="J126">
        <v>277.02999999999997</v>
      </c>
    </row>
    <row r="127" spans="1:10" x14ac:dyDescent="0.25">
      <c r="A127" t="s">
        <v>257</v>
      </c>
      <c r="B127" s="1">
        <v>45695</v>
      </c>
      <c r="C127" t="s">
        <v>258</v>
      </c>
      <c r="D127" t="s">
        <v>91</v>
      </c>
      <c r="E127" t="s">
        <v>13</v>
      </c>
      <c r="F127" t="s">
        <v>21</v>
      </c>
      <c r="G127">
        <v>2</v>
      </c>
      <c r="H127">
        <v>0.15</v>
      </c>
      <c r="I127">
        <v>51</v>
      </c>
      <c r="J127">
        <v>7.42</v>
      </c>
    </row>
    <row r="128" spans="1:10" x14ac:dyDescent="0.25">
      <c r="A128" t="s">
        <v>259</v>
      </c>
      <c r="B128" s="1">
        <v>45696</v>
      </c>
      <c r="C128" t="s">
        <v>260</v>
      </c>
      <c r="D128" t="s">
        <v>91</v>
      </c>
      <c r="E128" t="s">
        <v>13</v>
      </c>
      <c r="F128" t="s">
        <v>38</v>
      </c>
      <c r="G128">
        <v>3</v>
      </c>
      <c r="H128">
        <v>0.1</v>
      </c>
      <c r="I128">
        <v>81</v>
      </c>
      <c r="J128">
        <v>9.09</v>
      </c>
    </row>
    <row r="129" spans="1:10" x14ac:dyDescent="0.25">
      <c r="A129" t="s">
        <v>261</v>
      </c>
      <c r="B129" s="1">
        <v>45696</v>
      </c>
      <c r="C129" t="s">
        <v>175</v>
      </c>
      <c r="D129" t="s">
        <v>37</v>
      </c>
      <c r="E129" t="s">
        <v>28</v>
      </c>
      <c r="F129" t="s">
        <v>14</v>
      </c>
      <c r="G129">
        <v>2</v>
      </c>
      <c r="H129">
        <v>0.05</v>
      </c>
      <c r="I129">
        <v>152</v>
      </c>
      <c r="J129">
        <v>40.090000000000003</v>
      </c>
    </row>
    <row r="130" spans="1:10" x14ac:dyDescent="0.25">
      <c r="A130" t="s">
        <v>262</v>
      </c>
      <c r="B130" s="1">
        <v>45696</v>
      </c>
      <c r="C130" t="s">
        <v>263</v>
      </c>
      <c r="D130" t="s">
        <v>12</v>
      </c>
      <c r="E130" t="s">
        <v>13</v>
      </c>
      <c r="F130" t="s">
        <v>38</v>
      </c>
      <c r="G130">
        <v>5</v>
      </c>
      <c r="H130">
        <v>0</v>
      </c>
      <c r="I130">
        <v>275</v>
      </c>
      <c r="J130">
        <v>73.48</v>
      </c>
    </row>
    <row r="131" spans="1:10" x14ac:dyDescent="0.25">
      <c r="A131" t="s">
        <v>264</v>
      </c>
      <c r="B131" s="1">
        <v>45697</v>
      </c>
      <c r="C131" t="s">
        <v>66</v>
      </c>
      <c r="D131" t="s">
        <v>81</v>
      </c>
      <c r="E131" t="s">
        <v>13</v>
      </c>
      <c r="F131" t="s">
        <v>29</v>
      </c>
      <c r="G131">
        <v>2</v>
      </c>
      <c r="H131">
        <v>0.1</v>
      </c>
      <c r="I131">
        <v>81</v>
      </c>
      <c r="J131">
        <v>21</v>
      </c>
    </row>
    <row r="132" spans="1:10" x14ac:dyDescent="0.25">
      <c r="A132" t="s">
        <v>265</v>
      </c>
      <c r="B132" s="1">
        <v>45697</v>
      </c>
      <c r="C132" t="s">
        <v>189</v>
      </c>
      <c r="D132" t="s">
        <v>50</v>
      </c>
      <c r="E132" t="s">
        <v>28</v>
      </c>
      <c r="F132" t="s">
        <v>38</v>
      </c>
      <c r="G132">
        <v>4</v>
      </c>
      <c r="H132">
        <v>0.05</v>
      </c>
      <c r="I132">
        <v>912</v>
      </c>
      <c r="J132">
        <v>192.23</v>
      </c>
    </row>
    <row r="133" spans="1:10" x14ac:dyDescent="0.25">
      <c r="A133" t="s">
        <v>266</v>
      </c>
      <c r="B133" s="1">
        <v>45697</v>
      </c>
      <c r="C133" t="s">
        <v>23</v>
      </c>
      <c r="D133" t="s">
        <v>19</v>
      </c>
      <c r="E133" t="s">
        <v>20</v>
      </c>
      <c r="F133" t="s">
        <v>38</v>
      </c>
      <c r="G133">
        <v>2</v>
      </c>
      <c r="H133">
        <v>0.1</v>
      </c>
      <c r="I133">
        <v>324</v>
      </c>
      <c r="J133">
        <v>58.57</v>
      </c>
    </row>
    <row r="134" spans="1:10" x14ac:dyDescent="0.25">
      <c r="A134" t="s">
        <v>267</v>
      </c>
      <c r="B134" s="1">
        <v>45698</v>
      </c>
      <c r="C134" t="s">
        <v>268</v>
      </c>
      <c r="D134" t="s">
        <v>73</v>
      </c>
      <c r="E134" t="s">
        <v>74</v>
      </c>
      <c r="F134" t="s">
        <v>38</v>
      </c>
      <c r="G134">
        <v>1</v>
      </c>
      <c r="H134">
        <v>0.05</v>
      </c>
      <c r="I134">
        <v>7.6</v>
      </c>
      <c r="J134">
        <v>1.2</v>
      </c>
    </row>
    <row r="135" spans="1:10" x14ac:dyDescent="0.25">
      <c r="A135" t="s">
        <v>269</v>
      </c>
      <c r="B135" s="1">
        <v>45698</v>
      </c>
      <c r="C135" t="s">
        <v>113</v>
      </c>
      <c r="D135" t="s">
        <v>91</v>
      </c>
      <c r="E135" t="s">
        <v>13</v>
      </c>
      <c r="F135" t="s">
        <v>14</v>
      </c>
      <c r="G135">
        <v>3</v>
      </c>
      <c r="H135">
        <v>0.2</v>
      </c>
      <c r="I135">
        <v>72</v>
      </c>
      <c r="J135">
        <v>5.3</v>
      </c>
    </row>
    <row r="136" spans="1:10" x14ac:dyDescent="0.25">
      <c r="A136" t="s">
        <v>270</v>
      </c>
      <c r="B136" s="1">
        <v>45698</v>
      </c>
      <c r="C136" t="s">
        <v>271</v>
      </c>
      <c r="D136" t="s">
        <v>81</v>
      </c>
      <c r="E136" t="s">
        <v>13</v>
      </c>
      <c r="F136" t="s">
        <v>21</v>
      </c>
      <c r="G136">
        <v>5</v>
      </c>
      <c r="H136">
        <v>0</v>
      </c>
      <c r="I136">
        <v>225</v>
      </c>
      <c r="J136">
        <v>74.430000000000007</v>
      </c>
    </row>
    <row r="137" spans="1:10" x14ac:dyDescent="0.25">
      <c r="A137" t="s">
        <v>272</v>
      </c>
      <c r="B137" s="1">
        <v>45698</v>
      </c>
      <c r="C137" t="s">
        <v>273</v>
      </c>
      <c r="D137" t="s">
        <v>91</v>
      </c>
      <c r="E137" t="s">
        <v>13</v>
      </c>
      <c r="F137" t="s">
        <v>14</v>
      </c>
      <c r="G137">
        <v>1</v>
      </c>
      <c r="H137">
        <v>0</v>
      </c>
      <c r="I137">
        <v>30</v>
      </c>
      <c r="J137">
        <v>8.25</v>
      </c>
    </row>
    <row r="138" spans="1:10" x14ac:dyDescent="0.25">
      <c r="A138" t="s">
        <v>274</v>
      </c>
      <c r="B138" s="1">
        <v>45699</v>
      </c>
      <c r="C138" t="s">
        <v>275</v>
      </c>
      <c r="D138" t="s">
        <v>19</v>
      </c>
      <c r="E138" t="s">
        <v>20</v>
      </c>
      <c r="F138" t="s">
        <v>21</v>
      </c>
      <c r="G138">
        <v>2</v>
      </c>
      <c r="H138">
        <v>0.1</v>
      </c>
      <c r="I138">
        <v>324</v>
      </c>
      <c r="J138">
        <v>34.75</v>
      </c>
    </row>
    <row r="139" spans="1:10" x14ac:dyDescent="0.25">
      <c r="A139" t="s">
        <v>276</v>
      </c>
      <c r="B139" s="1">
        <v>45699</v>
      </c>
      <c r="C139" t="s">
        <v>277</v>
      </c>
      <c r="D139" t="s">
        <v>27</v>
      </c>
      <c r="E139" t="s">
        <v>28</v>
      </c>
      <c r="F139" t="s">
        <v>29</v>
      </c>
      <c r="G139">
        <v>3</v>
      </c>
      <c r="H139">
        <v>0.15</v>
      </c>
      <c r="I139">
        <v>1657.5</v>
      </c>
      <c r="J139">
        <v>168.3</v>
      </c>
    </row>
    <row r="140" spans="1:10" x14ac:dyDescent="0.25">
      <c r="A140" t="s">
        <v>278</v>
      </c>
      <c r="B140" s="1">
        <v>45699</v>
      </c>
      <c r="C140" t="s">
        <v>279</v>
      </c>
      <c r="D140" t="s">
        <v>73</v>
      </c>
      <c r="E140" t="s">
        <v>74</v>
      </c>
      <c r="F140" t="s">
        <v>29</v>
      </c>
      <c r="G140">
        <v>3</v>
      </c>
      <c r="H140">
        <v>0.15</v>
      </c>
      <c r="I140">
        <v>20.399999999999999</v>
      </c>
      <c r="J140">
        <v>4.54</v>
      </c>
    </row>
    <row r="141" spans="1:10" x14ac:dyDescent="0.25">
      <c r="A141" t="s">
        <v>280</v>
      </c>
      <c r="B141" s="1">
        <v>45700</v>
      </c>
      <c r="C141" t="s">
        <v>143</v>
      </c>
      <c r="D141" t="s">
        <v>32</v>
      </c>
      <c r="E141" t="s">
        <v>28</v>
      </c>
      <c r="F141" t="s">
        <v>14</v>
      </c>
      <c r="G141">
        <v>4</v>
      </c>
      <c r="H141">
        <v>0.1</v>
      </c>
      <c r="I141">
        <v>1800</v>
      </c>
      <c r="J141">
        <v>463.04</v>
      </c>
    </row>
    <row r="142" spans="1:10" x14ac:dyDescent="0.25">
      <c r="A142" t="s">
        <v>281</v>
      </c>
      <c r="B142" s="1">
        <v>45700</v>
      </c>
      <c r="C142" t="s">
        <v>93</v>
      </c>
      <c r="D142" t="s">
        <v>73</v>
      </c>
      <c r="E142" t="s">
        <v>74</v>
      </c>
      <c r="F142" t="s">
        <v>14</v>
      </c>
      <c r="G142">
        <v>5</v>
      </c>
      <c r="H142">
        <v>0.1</v>
      </c>
      <c r="I142">
        <v>36</v>
      </c>
      <c r="J142">
        <v>3.74</v>
      </c>
    </row>
    <row r="143" spans="1:10" x14ac:dyDescent="0.25">
      <c r="A143" t="s">
        <v>282</v>
      </c>
      <c r="B143" s="1">
        <v>45700</v>
      </c>
      <c r="C143" t="s">
        <v>283</v>
      </c>
      <c r="D143" t="s">
        <v>81</v>
      </c>
      <c r="E143" t="s">
        <v>13</v>
      </c>
      <c r="F143" t="s">
        <v>29</v>
      </c>
      <c r="G143">
        <v>2</v>
      </c>
      <c r="H143">
        <v>0.05</v>
      </c>
      <c r="I143">
        <v>85.5</v>
      </c>
      <c r="J143">
        <v>19.829999999999998</v>
      </c>
    </row>
    <row r="144" spans="1:10" x14ac:dyDescent="0.25">
      <c r="A144" t="s">
        <v>284</v>
      </c>
      <c r="B144" s="1">
        <v>45701</v>
      </c>
      <c r="C144" t="s">
        <v>285</v>
      </c>
      <c r="D144" t="s">
        <v>37</v>
      </c>
      <c r="E144" t="s">
        <v>28</v>
      </c>
      <c r="F144" t="s">
        <v>14</v>
      </c>
      <c r="G144">
        <v>5</v>
      </c>
      <c r="H144">
        <v>0.1</v>
      </c>
      <c r="I144">
        <v>360</v>
      </c>
      <c r="J144">
        <v>104.97</v>
      </c>
    </row>
    <row r="145" spans="1:10" x14ac:dyDescent="0.25">
      <c r="A145" t="s">
        <v>286</v>
      </c>
      <c r="B145" s="1">
        <v>45701</v>
      </c>
      <c r="C145" t="s">
        <v>287</v>
      </c>
      <c r="D145" t="s">
        <v>27</v>
      </c>
      <c r="E145" t="s">
        <v>28</v>
      </c>
      <c r="F145" t="s">
        <v>38</v>
      </c>
      <c r="G145">
        <v>1</v>
      </c>
      <c r="H145">
        <v>0.1</v>
      </c>
      <c r="I145">
        <v>585</v>
      </c>
      <c r="J145">
        <v>120.7</v>
      </c>
    </row>
    <row r="146" spans="1:10" x14ac:dyDescent="0.25">
      <c r="A146" t="s">
        <v>288</v>
      </c>
      <c r="B146" s="1">
        <v>45701</v>
      </c>
      <c r="C146" t="s">
        <v>289</v>
      </c>
      <c r="D146" t="s">
        <v>27</v>
      </c>
      <c r="E146" t="s">
        <v>28</v>
      </c>
      <c r="F146" t="s">
        <v>21</v>
      </c>
      <c r="G146">
        <v>5</v>
      </c>
      <c r="H146">
        <v>0.15</v>
      </c>
      <c r="I146">
        <v>2762.5</v>
      </c>
      <c r="J146">
        <v>120.23</v>
      </c>
    </row>
    <row r="147" spans="1:10" x14ac:dyDescent="0.25">
      <c r="A147" t="s">
        <v>290</v>
      </c>
      <c r="B147" s="1">
        <v>45702</v>
      </c>
      <c r="C147" t="s">
        <v>291</v>
      </c>
      <c r="D147" t="s">
        <v>32</v>
      </c>
      <c r="E147" t="s">
        <v>28</v>
      </c>
      <c r="F147" t="s">
        <v>29</v>
      </c>
      <c r="G147">
        <v>3</v>
      </c>
      <c r="H147">
        <v>0.2</v>
      </c>
      <c r="I147">
        <v>1200</v>
      </c>
      <c r="J147">
        <v>53.52</v>
      </c>
    </row>
    <row r="148" spans="1:10" x14ac:dyDescent="0.25">
      <c r="A148" t="s">
        <v>292</v>
      </c>
      <c r="B148" s="1">
        <v>45702</v>
      </c>
      <c r="C148" t="s">
        <v>293</v>
      </c>
      <c r="D148" t="s">
        <v>91</v>
      </c>
      <c r="E148" t="s">
        <v>13</v>
      </c>
      <c r="F148" t="s">
        <v>38</v>
      </c>
      <c r="G148">
        <v>3</v>
      </c>
      <c r="H148">
        <v>0.15</v>
      </c>
      <c r="I148">
        <v>76.5</v>
      </c>
      <c r="J148">
        <v>17.07</v>
      </c>
    </row>
    <row r="149" spans="1:10" x14ac:dyDescent="0.25">
      <c r="A149" t="s">
        <v>294</v>
      </c>
      <c r="B149" s="1">
        <v>45702</v>
      </c>
      <c r="C149" t="s">
        <v>295</v>
      </c>
      <c r="D149" t="s">
        <v>24</v>
      </c>
      <c r="E149" t="s">
        <v>20</v>
      </c>
      <c r="F149" t="s">
        <v>29</v>
      </c>
      <c r="G149">
        <v>5</v>
      </c>
      <c r="H149">
        <v>0.15</v>
      </c>
      <c r="I149">
        <v>935</v>
      </c>
      <c r="J149">
        <v>106.66</v>
      </c>
    </row>
    <row r="150" spans="1:10" x14ac:dyDescent="0.25">
      <c r="A150" t="s">
        <v>296</v>
      </c>
      <c r="B150" s="1">
        <v>45702</v>
      </c>
      <c r="C150" t="s">
        <v>297</v>
      </c>
      <c r="D150" t="s">
        <v>50</v>
      </c>
      <c r="E150" t="s">
        <v>28</v>
      </c>
      <c r="F150" t="s">
        <v>29</v>
      </c>
      <c r="G150">
        <v>5</v>
      </c>
      <c r="H150">
        <v>0.1</v>
      </c>
      <c r="I150">
        <v>1080</v>
      </c>
      <c r="J150">
        <v>172.08</v>
      </c>
    </row>
    <row r="151" spans="1:10" x14ac:dyDescent="0.25">
      <c r="A151" t="s">
        <v>298</v>
      </c>
      <c r="B151" s="1">
        <v>45703</v>
      </c>
      <c r="C151" t="s">
        <v>299</v>
      </c>
      <c r="D151" t="s">
        <v>32</v>
      </c>
      <c r="E151" t="s">
        <v>28</v>
      </c>
      <c r="F151" t="s">
        <v>14</v>
      </c>
      <c r="G151">
        <v>5</v>
      </c>
      <c r="H151">
        <v>0.05</v>
      </c>
      <c r="I151">
        <v>2375</v>
      </c>
      <c r="J151">
        <v>451.2</v>
      </c>
    </row>
    <row r="152" spans="1:10" x14ac:dyDescent="0.25">
      <c r="A152" t="s">
        <v>300</v>
      </c>
      <c r="B152" s="1">
        <v>45703</v>
      </c>
      <c r="C152" t="s">
        <v>109</v>
      </c>
      <c r="D152" t="s">
        <v>50</v>
      </c>
      <c r="E152" t="s">
        <v>28</v>
      </c>
      <c r="F152" t="s">
        <v>29</v>
      </c>
      <c r="G152">
        <v>1</v>
      </c>
      <c r="H152">
        <v>0.15</v>
      </c>
      <c r="I152">
        <v>204</v>
      </c>
      <c r="J152">
        <v>36.770000000000003</v>
      </c>
    </row>
    <row r="153" spans="1:10" x14ac:dyDescent="0.25">
      <c r="A153" t="s">
        <v>301</v>
      </c>
      <c r="B153" s="1">
        <v>45703</v>
      </c>
      <c r="C153" t="s">
        <v>165</v>
      </c>
      <c r="D153" t="s">
        <v>32</v>
      </c>
      <c r="E153" t="s">
        <v>28</v>
      </c>
      <c r="F153" t="s">
        <v>29</v>
      </c>
      <c r="G153">
        <v>3</v>
      </c>
      <c r="H153">
        <v>0.05</v>
      </c>
      <c r="I153">
        <v>1425</v>
      </c>
      <c r="J153">
        <v>395.16</v>
      </c>
    </row>
    <row r="154" spans="1:10" x14ac:dyDescent="0.25">
      <c r="A154" t="s">
        <v>302</v>
      </c>
      <c r="B154" s="1">
        <v>45704</v>
      </c>
      <c r="C154" t="s">
        <v>54</v>
      </c>
      <c r="D154" t="s">
        <v>73</v>
      </c>
      <c r="E154" t="s">
        <v>74</v>
      </c>
      <c r="F154" t="s">
        <v>38</v>
      </c>
      <c r="G154">
        <v>4</v>
      </c>
      <c r="H154">
        <v>0.15</v>
      </c>
      <c r="I154">
        <v>27.2</v>
      </c>
      <c r="J154">
        <v>3.39</v>
      </c>
    </row>
    <row r="155" spans="1:10" x14ac:dyDescent="0.25">
      <c r="A155" t="s">
        <v>303</v>
      </c>
      <c r="B155" s="1">
        <v>45704</v>
      </c>
      <c r="C155" t="s">
        <v>113</v>
      </c>
      <c r="D155" t="s">
        <v>19</v>
      </c>
      <c r="E155" t="s">
        <v>20</v>
      </c>
      <c r="F155" t="s">
        <v>21</v>
      </c>
      <c r="G155">
        <v>5</v>
      </c>
      <c r="H155">
        <v>0</v>
      </c>
      <c r="I155">
        <v>900</v>
      </c>
      <c r="J155">
        <v>285.89</v>
      </c>
    </row>
    <row r="156" spans="1:10" x14ac:dyDescent="0.25">
      <c r="A156" t="s">
        <v>304</v>
      </c>
      <c r="B156" s="1">
        <v>45704</v>
      </c>
      <c r="C156" t="s">
        <v>279</v>
      </c>
      <c r="D156" t="s">
        <v>19</v>
      </c>
      <c r="E156" t="s">
        <v>20</v>
      </c>
      <c r="F156" t="s">
        <v>21</v>
      </c>
      <c r="G156">
        <v>2</v>
      </c>
      <c r="H156">
        <v>0.15</v>
      </c>
      <c r="I156">
        <v>306</v>
      </c>
      <c r="J156">
        <v>19.670000000000002</v>
      </c>
    </row>
    <row r="157" spans="1:10" x14ac:dyDescent="0.25">
      <c r="A157" t="s">
        <v>305</v>
      </c>
      <c r="B157" s="1">
        <v>45705</v>
      </c>
      <c r="C157" t="s">
        <v>306</v>
      </c>
      <c r="D157" t="s">
        <v>19</v>
      </c>
      <c r="E157" t="s">
        <v>20</v>
      </c>
      <c r="F157" t="s">
        <v>29</v>
      </c>
      <c r="G157">
        <v>5</v>
      </c>
      <c r="H157">
        <v>0</v>
      </c>
      <c r="I157">
        <v>900</v>
      </c>
      <c r="J157">
        <v>270.49</v>
      </c>
    </row>
    <row r="158" spans="1:10" x14ac:dyDescent="0.25">
      <c r="A158" t="s">
        <v>307</v>
      </c>
      <c r="B158" s="1">
        <v>45705</v>
      </c>
      <c r="C158" t="s">
        <v>308</v>
      </c>
      <c r="D158" t="s">
        <v>24</v>
      </c>
      <c r="E158" t="s">
        <v>20</v>
      </c>
      <c r="F158" t="s">
        <v>38</v>
      </c>
      <c r="G158">
        <v>5</v>
      </c>
      <c r="H158">
        <v>0</v>
      </c>
      <c r="I158">
        <v>1100</v>
      </c>
      <c r="J158">
        <v>259.10000000000002</v>
      </c>
    </row>
    <row r="159" spans="1:10" x14ac:dyDescent="0.25">
      <c r="A159" t="s">
        <v>309</v>
      </c>
      <c r="B159" s="1">
        <v>45705</v>
      </c>
      <c r="C159" t="s">
        <v>72</v>
      </c>
      <c r="D159" t="s">
        <v>32</v>
      </c>
      <c r="E159" t="s">
        <v>28</v>
      </c>
      <c r="F159" t="s">
        <v>14</v>
      </c>
      <c r="G159">
        <v>3</v>
      </c>
      <c r="H159">
        <v>0.1</v>
      </c>
      <c r="I159">
        <v>1350</v>
      </c>
      <c r="J159">
        <v>205.15</v>
      </c>
    </row>
    <row r="160" spans="1:10" x14ac:dyDescent="0.25">
      <c r="A160" t="s">
        <v>310</v>
      </c>
      <c r="B160" s="1">
        <v>45705</v>
      </c>
      <c r="C160" t="s">
        <v>275</v>
      </c>
      <c r="D160" t="s">
        <v>19</v>
      </c>
      <c r="E160" t="s">
        <v>20</v>
      </c>
      <c r="F160" t="s">
        <v>29</v>
      </c>
      <c r="G160">
        <v>3</v>
      </c>
      <c r="H160">
        <v>0.2</v>
      </c>
      <c r="I160">
        <v>432</v>
      </c>
      <c r="J160">
        <v>60.21</v>
      </c>
    </row>
    <row r="161" spans="1:10" x14ac:dyDescent="0.25">
      <c r="A161" t="s">
        <v>311</v>
      </c>
      <c r="B161" s="1">
        <v>45706</v>
      </c>
      <c r="C161" t="s">
        <v>312</v>
      </c>
      <c r="D161" t="s">
        <v>12</v>
      </c>
      <c r="E161" t="s">
        <v>13</v>
      </c>
      <c r="F161" t="s">
        <v>29</v>
      </c>
      <c r="G161">
        <v>2</v>
      </c>
      <c r="H161">
        <v>0.2</v>
      </c>
      <c r="I161">
        <v>88</v>
      </c>
      <c r="J161">
        <v>16.43</v>
      </c>
    </row>
    <row r="162" spans="1:10" x14ac:dyDescent="0.25">
      <c r="A162" t="s">
        <v>313</v>
      </c>
      <c r="B162" s="1">
        <v>45706</v>
      </c>
      <c r="C162" t="s">
        <v>314</v>
      </c>
      <c r="D162" t="s">
        <v>37</v>
      </c>
      <c r="E162" t="s">
        <v>28</v>
      </c>
      <c r="F162" t="s">
        <v>29</v>
      </c>
      <c r="G162">
        <v>1</v>
      </c>
      <c r="H162">
        <v>0.05</v>
      </c>
      <c r="I162">
        <v>76</v>
      </c>
      <c r="J162">
        <v>14.78</v>
      </c>
    </row>
    <row r="163" spans="1:10" x14ac:dyDescent="0.25">
      <c r="A163" t="s">
        <v>315</v>
      </c>
      <c r="B163" s="1">
        <v>45706</v>
      </c>
      <c r="C163" t="s">
        <v>130</v>
      </c>
      <c r="D163" t="s">
        <v>19</v>
      </c>
      <c r="E163" t="s">
        <v>20</v>
      </c>
      <c r="F163" t="s">
        <v>21</v>
      </c>
      <c r="G163">
        <v>4</v>
      </c>
      <c r="H163">
        <v>0.15</v>
      </c>
      <c r="I163">
        <v>612</v>
      </c>
      <c r="J163">
        <v>162.28</v>
      </c>
    </row>
    <row r="164" spans="1:10" x14ac:dyDescent="0.25">
      <c r="A164" t="s">
        <v>316</v>
      </c>
      <c r="B164" s="1">
        <v>45707</v>
      </c>
      <c r="C164" t="s">
        <v>137</v>
      </c>
      <c r="D164" t="s">
        <v>27</v>
      </c>
      <c r="E164" t="s">
        <v>28</v>
      </c>
      <c r="F164" t="s">
        <v>14</v>
      </c>
      <c r="G164">
        <v>4</v>
      </c>
      <c r="H164">
        <v>0.05</v>
      </c>
      <c r="I164">
        <v>2470</v>
      </c>
      <c r="J164">
        <v>822.16</v>
      </c>
    </row>
    <row r="165" spans="1:10" x14ac:dyDescent="0.25">
      <c r="A165" t="s">
        <v>317</v>
      </c>
      <c r="B165" s="1">
        <v>45707</v>
      </c>
      <c r="C165" t="s">
        <v>285</v>
      </c>
      <c r="D165" t="s">
        <v>91</v>
      </c>
      <c r="E165" t="s">
        <v>13</v>
      </c>
      <c r="F165" t="s">
        <v>14</v>
      </c>
      <c r="G165">
        <v>1</v>
      </c>
      <c r="H165">
        <v>0.2</v>
      </c>
      <c r="I165">
        <v>24</v>
      </c>
      <c r="J165">
        <v>2.69</v>
      </c>
    </row>
    <row r="166" spans="1:10" x14ac:dyDescent="0.25">
      <c r="A166" t="s">
        <v>318</v>
      </c>
      <c r="B166" s="1">
        <v>45707</v>
      </c>
      <c r="C166" t="s">
        <v>319</v>
      </c>
      <c r="D166" t="s">
        <v>73</v>
      </c>
      <c r="E166" t="s">
        <v>74</v>
      </c>
      <c r="F166" t="s">
        <v>38</v>
      </c>
      <c r="G166">
        <v>4</v>
      </c>
      <c r="H166">
        <v>0</v>
      </c>
      <c r="I166">
        <v>32</v>
      </c>
      <c r="J166">
        <v>6.27</v>
      </c>
    </row>
    <row r="167" spans="1:10" x14ac:dyDescent="0.25">
      <c r="A167" t="s">
        <v>320</v>
      </c>
      <c r="B167" s="1">
        <v>45708</v>
      </c>
      <c r="C167" t="s">
        <v>198</v>
      </c>
      <c r="D167" t="s">
        <v>91</v>
      </c>
      <c r="E167" t="s">
        <v>13</v>
      </c>
      <c r="F167" t="s">
        <v>29</v>
      </c>
      <c r="G167">
        <v>5</v>
      </c>
      <c r="H167">
        <v>0.05</v>
      </c>
      <c r="I167">
        <v>142.5</v>
      </c>
      <c r="J167">
        <v>27.17</v>
      </c>
    </row>
    <row r="168" spans="1:10" x14ac:dyDescent="0.25">
      <c r="A168" t="s">
        <v>321</v>
      </c>
      <c r="B168" s="1">
        <v>45708</v>
      </c>
      <c r="C168" t="s">
        <v>322</v>
      </c>
      <c r="D168" t="s">
        <v>50</v>
      </c>
      <c r="E168" t="s">
        <v>28</v>
      </c>
      <c r="F168" t="s">
        <v>14</v>
      </c>
      <c r="G168">
        <v>5</v>
      </c>
      <c r="H168">
        <v>0.1</v>
      </c>
      <c r="I168">
        <v>1080</v>
      </c>
      <c r="J168">
        <v>308.58</v>
      </c>
    </row>
    <row r="169" spans="1:10" x14ac:dyDescent="0.25">
      <c r="A169" t="s">
        <v>323</v>
      </c>
      <c r="B169" s="1">
        <v>45708</v>
      </c>
      <c r="C169" t="s">
        <v>324</v>
      </c>
      <c r="D169" t="s">
        <v>73</v>
      </c>
      <c r="E169" t="s">
        <v>74</v>
      </c>
      <c r="F169" t="s">
        <v>29</v>
      </c>
      <c r="G169">
        <v>3</v>
      </c>
      <c r="H169">
        <v>0.2</v>
      </c>
      <c r="I169">
        <v>19.2</v>
      </c>
      <c r="J169">
        <v>2.08</v>
      </c>
    </row>
    <row r="170" spans="1:10" x14ac:dyDescent="0.25">
      <c r="A170" t="s">
        <v>325</v>
      </c>
      <c r="B170" s="1">
        <v>45709</v>
      </c>
      <c r="C170" t="s">
        <v>107</v>
      </c>
      <c r="D170" t="s">
        <v>32</v>
      </c>
      <c r="E170" t="s">
        <v>28</v>
      </c>
      <c r="F170" t="s">
        <v>14</v>
      </c>
      <c r="G170">
        <v>1</v>
      </c>
      <c r="H170">
        <v>0.05</v>
      </c>
      <c r="I170">
        <v>475</v>
      </c>
      <c r="J170">
        <v>123.11</v>
      </c>
    </row>
    <row r="171" spans="1:10" x14ac:dyDescent="0.25">
      <c r="A171" t="s">
        <v>326</v>
      </c>
      <c r="B171" s="1">
        <v>45709</v>
      </c>
      <c r="C171" t="s">
        <v>181</v>
      </c>
      <c r="D171" t="s">
        <v>81</v>
      </c>
      <c r="E171" t="s">
        <v>13</v>
      </c>
      <c r="F171" t="s">
        <v>14</v>
      </c>
      <c r="G171">
        <v>2</v>
      </c>
      <c r="H171">
        <v>0</v>
      </c>
      <c r="I171">
        <v>90</v>
      </c>
      <c r="J171">
        <v>22.26</v>
      </c>
    </row>
    <row r="172" spans="1:10" x14ac:dyDescent="0.25">
      <c r="A172" t="s">
        <v>327</v>
      </c>
      <c r="B172" s="1">
        <v>45709</v>
      </c>
      <c r="C172" t="s">
        <v>11</v>
      </c>
      <c r="D172" t="s">
        <v>27</v>
      </c>
      <c r="E172" t="s">
        <v>28</v>
      </c>
      <c r="F172" t="s">
        <v>29</v>
      </c>
      <c r="G172">
        <v>4</v>
      </c>
      <c r="H172">
        <v>0.05</v>
      </c>
      <c r="I172">
        <v>2470</v>
      </c>
      <c r="J172">
        <v>813.62</v>
      </c>
    </row>
    <row r="173" spans="1:10" x14ac:dyDescent="0.25">
      <c r="A173" t="s">
        <v>328</v>
      </c>
      <c r="B173" s="1">
        <v>45709</v>
      </c>
      <c r="C173" t="s">
        <v>329</v>
      </c>
      <c r="D173" t="s">
        <v>27</v>
      </c>
      <c r="E173" t="s">
        <v>28</v>
      </c>
      <c r="F173" t="s">
        <v>21</v>
      </c>
      <c r="G173">
        <v>1</v>
      </c>
      <c r="H173">
        <v>0.05</v>
      </c>
      <c r="I173">
        <v>617.5</v>
      </c>
      <c r="J173">
        <v>162.85</v>
      </c>
    </row>
    <row r="174" spans="1:10" x14ac:dyDescent="0.25">
      <c r="A174" t="s">
        <v>330</v>
      </c>
      <c r="B174" s="1">
        <v>45710</v>
      </c>
      <c r="C174" t="s">
        <v>331</v>
      </c>
      <c r="D174" t="s">
        <v>27</v>
      </c>
      <c r="E174" t="s">
        <v>28</v>
      </c>
      <c r="F174" t="s">
        <v>21</v>
      </c>
      <c r="G174">
        <v>5</v>
      </c>
      <c r="H174">
        <v>0.05</v>
      </c>
      <c r="I174">
        <v>3087.5</v>
      </c>
      <c r="J174">
        <v>528.73</v>
      </c>
    </row>
    <row r="175" spans="1:10" x14ac:dyDescent="0.25">
      <c r="A175" t="s">
        <v>332</v>
      </c>
      <c r="B175" s="1">
        <v>45710</v>
      </c>
      <c r="C175" t="s">
        <v>333</v>
      </c>
      <c r="D175" t="s">
        <v>27</v>
      </c>
      <c r="E175" t="s">
        <v>28</v>
      </c>
      <c r="F175" t="s">
        <v>21</v>
      </c>
      <c r="G175">
        <v>3</v>
      </c>
      <c r="H175">
        <v>0.05</v>
      </c>
      <c r="I175">
        <v>1852.5</v>
      </c>
      <c r="J175">
        <v>438.99</v>
      </c>
    </row>
    <row r="176" spans="1:10" x14ac:dyDescent="0.25">
      <c r="A176" t="s">
        <v>334</v>
      </c>
      <c r="B176" s="1">
        <v>45710</v>
      </c>
      <c r="C176" t="s">
        <v>319</v>
      </c>
      <c r="D176" t="s">
        <v>81</v>
      </c>
      <c r="E176" t="s">
        <v>13</v>
      </c>
      <c r="F176" t="s">
        <v>38</v>
      </c>
      <c r="G176">
        <v>3</v>
      </c>
      <c r="H176">
        <v>0</v>
      </c>
      <c r="I176">
        <v>135</v>
      </c>
      <c r="J176">
        <v>46.39</v>
      </c>
    </row>
    <row r="177" spans="1:10" x14ac:dyDescent="0.25">
      <c r="A177" t="s">
        <v>335</v>
      </c>
      <c r="B177" s="1">
        <v>45711</v>
      </c>
      <c r="C177" t="s">
        <v>336</v>
      </c>
      <c r="D177" t="s">
        <v>32</v>
      </c>
      <c r="E177" t="s">
        <v>28</v>
      </c>
      <c r="F177" t="s">
        <v>38</v>
      </c>
      <c r="G177">
        <v>2</v>
      </c>
      <c r="H177">
        <v>0.05</v>
      </c>
      <c r="I177">
        <v>950</v>
      </c>
      <c r="J177">
        <v>201.2</v>
      </c>
    </row>
    <row r="178" spans="1:10" x14ac:dyDescent="0.25">
      <c r="A178" t="s">
        <v>337</v>
      </c>
      <c r="B178" s="1">
        <v>45711</v>
      </c>
      <c r="C178" t="s">
        <v>88</v>
      </c>
      <c r="D178" t="s">
        <v>37</v>
      </c>
      <c r="E178" t="s">
        <v>28</v>
      </c>
      <c r="F178" t="s">
        <v>14</v>
      </c>
      <c r="G178">
        <v>5</v>
      </c>
      <c r="H178">
        <v>0.05</v>
      </c>
      <c r="I178">
        <v>380</v>
      </c>
      <c r="J178">
        <v>87.86</v>
      </c>
    </row>
    <row r="179" spans="1:10" x14ac:dyDescent="0.25">
      <c r="A179" t="s">
        <v>338</v>
      </c>
      <c r="B179" s="1">
        <v>45711</v>
      </c>
      <c r="C179" t="s">
        <v>339</v>
      </c>
      <c r="D179" t="s">
        <v>91</v>
      </c>
      <c r="E179" t="s">
        <v>13</v>
      </c>
      <c r="F179" t="s">
        <v>29</v>
      </c>
      <c r="G179">
        <v>1</v>
      </c>
      <c r="H179">
        <v>0.15</v>
      </c>
      <c r="I179">
        <v>25.5</v>
      </c>
      <c r="J179">
        <v>5.83</v>
      </c>
    </row>
    <row r="180" spans="1:10" x14ac:dyDescent="0.25">
      <c r="A180" t="s">
        <v>340</v>
      </c>
      <c r="B180" s="1">
        <v>45712</v>
      </c>
      <c r="C180" t="s">
        <v>341</v>
      </c>
      <c r="D180" t="s">
        <v>91</v>
      </c>
      <c r="E180" t="s">
        <v>13</v>
      </c>
      <c r="F180" t="s">
        <v>29</v>
      </c>
      <c r="G180">
        <v>2</v>
      </c>
      <c r="H180">
        <v>0.15</v>
      </c>
      <c r="I180">
        <v>51</v>
      </c>
      <c r="J180">
        <v>1.94</v>
      </c>
    </row>
    <row r="181" spans="1:10" x14ac:dyDescent="0.25">
      <c r="A181" t="s">
        <v>342</v>
      </c>
      <c r="B181" s="1">
        <v>45712</v>
      </c>
      <c r="C181" t="s">
        <v>187</v>
      </c>
      <c r="D181" t="s">
        <v>19</v>
      </c>
      <c r="E181" t="s">
        <v>20</v>
      </c>
      <c r="F181" t="s">
        <v>38</v>
      </c>
      <c r="G181">
        <v>4</v>
      </c>
      <c r="H181">
        <v>0.1</v>
      </c>
      <c r="I181">
        <v>648</v>
      </c>
      <c r="J181">
        <v>172.08</v>
      </c>
    </row>
    <row r="182" spans="1:10" x14ac:dyDescent="0.25">
      <c r="A182" t="s">
        <v>343</v>
      </c>
      <c r="B182" s="1">
        <v>45712</v>
      </c>
      <c r="C182" t="s">
        <v>121</v>
      </c>
      <c r="D182" t="s">
        <v>37</v>
      </c>
      <c r="E182" t="s">
        <v>28</v>
      </c>
      <c r="F182" t="s">
        <v>29</v>
      </c>
      <c r="G182">
        <v>2</v>
      </c>
      <c r="H182">
        <v>0</v>
      </c>
      <c r="I182">
        <v>160</v>
      </c>
      <c r="J182">
        <v>54.15</v>
      </c>
    </row>
    <row r="183" spans="1:10" x14ac:dyDescent="0.25">
      <c r="A183" t="s">
        <v>344</v>
      </c>
      <c r="B183" s="1">
        <v>45712</v>
      </c>
      <c r="C183" t="s">
        <v>228</v>
      </c>
      <c r="D183" t="s">
        <v>32</v>
      </c>
      <c r="E183" t="s">
        <v>28</v>
      </c>
      <c r="F183" t="s">
        <v>29</v>
      </c>
      <c r="G183">
        <v>4</v>
      </c>
      <c r="H183">
        <v>0.1</v>
      </c>
      <c r="I183">
        <v>1800</v>
      </c>
      <c r="J183">
        <v>278.42</v>
      </c>
    </row>
    <row r="184" spans="1:10" x14ac:dyDescent="0.25">
      <c r="A184" t="s">
        <v>345</v>
      </c>
      <c r="B184" s="1">
        <v>45713</v>
      </c>
      <c r="C184" t="s">
        <v>346</v>
      </c>
      <c r="D184" t="s">
        <v>73</v>
      </c>
      <c r="E184" t="s">
        <v>74</v>
      </c>
      <c r="F184" t="s">
        <v>14</v>
      </c>
      <c r="G184">
        <v>2</v>
      </c>
      <c r="H184">
        <v>0.05</v>
      </c>
      <c r="I184">
        <v>15.2</v>
      </c>
      <c r="J184">
        <v>5.17</v>
      </c>
    </row>
    <row r="185" spans="1:10" x14ac:dyDescent="0.25">
      <c r="A185" t="s">
        <v>347</v>
      </c>
      <c r="B185" s="1">
        <v>45713</v>
      </c>
      <c r="C185" t="s">
        <v>348</v>
      </c>
      <c r="D185" t="s">
        <v>24</v>
      </c>
      <c r="E185" t="s">
        <v>20</v>
      </c>
      <c r="F185" t="s">
        <v>14</v>
      </c>
      <c r="G185">
        <v>1</v>
      </c>
      <c r="H185">
        <v>0.05</v>
      </c>
      <c r="I185">
        <v>209</v>
      </c>
      <c r="J185">
        <v>59.64</v>
      </c>
    </row>
    <row r="186" spans="1:10" x14ac:dyDescent="0.25">
      <c r="A186" t="s">
        <v>349</v>
      </c>
      <c r="B186" s="1">
        <v>45713</v>
      </c>
      <c r="C186" t="s">
        <v>350</v>
      </c>
      <c r="D186" t="s">
        <v>73</v>
      </c>
      <c r="E186" t="s">
        <v>74</v>
      </c>
      <c r="F186" t="s">
        <v>21</v>
      </c>
      <c r="G186">
        <v>3</v>
      </c>
      <c r="H186">
        <v>0.15</v>
      </c>
      <c r="I186">
        <v>20.399999999999999</v>
      </c>
      <c r="J186">
        <v>1.68</v>
      </c>
    </row>
    <row r="187" spans="1:10" x14ac:dyDescent="0.25">
      <c r="A187" t="s">
        <v>351</v>
      </c>
      <c r="B187" s="1">
        <v>45714</v>
      </c>
      <c r="C187" t="s">
        <v>352</v>
      </c>
      <c r="D187" t="s">
        <v>32</v>
      </c>
      <c r="E187" t="s">
        <v>28</v>
      </c>
      <c r="F187" t="s">
        <v>14</v>
      </c>
      <c r="G187">
        <v>1</v>
      </c>
      <c r="H187">
        <v>0.05</v>
      </c>
      <c r="I187">
        <v>475</v>
      </c>
      <c r="J187">
        <v>110.84</v>
      </c>
    </row>
    <row r="188" spans="1:10" x14ac:dyDescent="0.25">
      <c r="A188" t="s">
        <v>353</v>
      </c>
      <c r="B188" s="1">
        <v>45714</v>
      </c>
      <c r="C188" t="s">
        <v>271</v>
      </c>
      <c r="D188" t="s">
        <v>12</v>
      </c>
      <c r="E188" t="s">
        <v>13</v>
      </c>
      <c r="F188" t="s">
        <v>21</v>
      </c>
      <c r="G188">
        <v>1</v>
      </c>
      <c r="H188">
        <v>0</v>
      </c>
      <c r="I188">
        <v>55</v>
      </c>
      <c r="J188">
        <v>11.72</v>
      </c>
    </row>
    <row r="189" spans="1:10" x14ac:dyDescent="0.25">
      <c r="A189" t="s">
        <v>354</v>
      </c>
      <c r="B189" s="1">
        <v>45714</v>
      </c>
      <c r="C189" t="s">
        <v>355</v>
      </c>
      <c r="D189" t="s">
        <v>73</v>
      </c>
      <c r="E189" t="s">
        <v>74</v>
      </c>
      <c r="F189" t="s">
        <v>21</v>
      </c>
      <c r="G189">
        <v>5</v>
      </c>
      <c r="H189">
        <v>0</v>
      </c>
      <c r="I189">
        <v>40</v>
      </c>
      <c r="J189">
        <v>13.02</v>
      </c>
    </row>
    <row r="190" spans="1:10" x14ac:dyDescent="0.25">
      <c r="A190" t="s">
        <v>356</v>
      </c>
      <c r="B190" s="1">
        <v>45715</v>
      </c>
      <c r="C190" t="s">
        <v>357</v>
      </c>
      <c r="D190" t="s">
        <v>37</v>
      </c>
      <c r="E190" t="s">
        <v>28</v>
      </c>
      <c r="F190" t="s">
        <v>14</v>
      </c>
      <c r="G190">
        <v>5</v>
      </c>
      <c r="H190">
        <v>0.15</v>
      </c>
      <c r="I190">
        <v>340</v>
      </c>
      <c r="J190">
        <v>52.15</v>
      </c>
    </row>
    <row r="191" spans="1:10" x14ac:dyDescent="0.25">
      <c r="A191" t="s">
        <v>358</v>
      </c>
      <c r="B191" s="1">
        <v>45715</v>
      </c>
      <c r="C191" t="s">
        <v>204</v>
      </c>
      <c r="D191" t="s">
        <v>24</v>
      </c>
      <c r="E191" t="s">
        <v>20</v>
      </c>
      <c r="F191" t="s">
        <v>21</v>
      </c>
      <c r="G191">
        <v>1</v>
      </c>
      <c r="H191">
        <v>0.05</v>
      </c>
      <c r="I191">
        <v>209</v>
      </c>
      <c r="J191">
        <v>40.909999999999997</v>
      </c>
    </row>
    <row r="192" spans="1:10" x14ac:dyDescent="0.25">
      <c r="A192" t="s">
        <v>359</v>
      </c>
      <c r="B192" s="1">
        <v>45715</v>
      </c>
      <c r="C192" t="s">
        <v>360</v>
      </c>
      <c r="D192" t="s">
        <v>81</v>
      </c>
      <c r="E192" t="s">
        <v>13</v>
      </c>
      <c r="F192" t="s">
        <v>29</v>
      </c>
      <c r="G192">
        <v>5</v>
      </c>
      <c r="H192">
        <v>0.05</v>
      </c>
      <c r="I192">
        <v>213.75</v>
      </c>
      <c r="J192">
        <v>62.26</v>
      </c>
    </row>
    <row r="193" spans="1:10" x14ac:dyDescent="0.25">
      <c r="A193" t="s">
        <v>361</v>
      </c>
      <c r="B193" s="1">
        <v>45715</v>
      </c>
      <c r="C193" t="s">
        <v>362</v>
      </c>
      <c r="D193" t="s">
        <v>37</v>
      </c>
      <c r="E193" t="s">
        <v>28</v>
      </c>
      <c r="F193" t="s">
        <v>14</v>
      </c>
      <c r="G193">
        <v>4</v>
      </c>
      <c r="H193">
        <v>0.1</v>
      </c>
      <c r="I193">
        <v>288</v>
      </c>
      <c r="J193">
        <v>57.97</v>
      </c>
    </row>
    <row r="194" spans="1:10" x14ac:dyDescent="0.25">
      <c r="A194" t="s">
        <v>363</v>
      </c>
      <c r="B194" s="1">
        <v>45716</v>
      </c>
      <c r="C194" t="s">
        <v>364</v>
      </c>
      <c r="D194" t="s">
        <v>73</v>
      </c>
      <c r="E194" t="s">
        <v>74</v>
      </c>
      <c r="F194" t="s">
        <v>21</v>
      </c>
      <c r="G194">
        <v>5</v>
      </c>
      <c r="H194">
        <v>0.05</v>
      </c>
      <c r="I194">
        <v>38</v>
      </c>
      <c r="J194">
        <v>9.0500000000000007</v>
      </c>
    </row>
    <row r="195" spans="1:10" x14ac:dyDescent="0.25">
      <c r="A195" t="s">
        <v>365</v>
      </c>
      <c r="B195" s="1">
        <v>45716</v>
      </c>
      <c r="C195" t="s">
        <v>224</v>
      </c>
      <c r="D195" t="s">
        <v>81</v>
      </c>
      <c r="E195" t="s">
        <v>13</v>
      </c>
      <c r="F195" t="s">
        <v>14</v>
      </c>
      <c r="G195">
        <v>3</v>
      </c>
      <c r="H195">
        <v>0</v>
      </c>
      <c r="I195">
        <v>135</v>
      </c>
      <c r="J195">
        <v>48.86</v>
      </c>
    </row>
    <row r="196" spans="1:10" x14ac:dyDescent="0.25">
      <c r="A196" t="s">
        <v>366</v>
      </c>
      <c r="B196" s="1">
        <v>45716</v>
      </c>
      <c r="C196" t="s">
        <v>333</v>
      </c>
      <c r="D196" t="s">
        <v>24</v>
      </c>
      <c r="E196" t="s">
        <v>20</v>
      </c>
      <c r="F196" t="s">
        <v>38</v>
      </c>
      <c r="G196">
        <v>3</v>
      </c>
      <c r="H196">
        <v>0.05</v>
      </c>
      <c r="I196">
        <v>627</v>
      </c>
      <c r="J196">
        <v>170.85</v>
      </c>
    </row>
    <row r="197" spans="1:10" x14ac:dyDescent="0.25">
      <c r="A197" t="s">
        <v>367</v>
      </c>
      <c r="B197" s="1">
        <v>45717</v>
      </c>
      <c r="C197" t="s">
        <v>78</v>
      </c>
      <c r="D197" t="s">
        <v>12</v>
      </c>
      <c r="E197" t="s">
        <v>13</v>
      </c>
      <c r="F197" t="s">
        <v>21</v>
      </c>
      <c r="G197">
        <v>3</v>
      </c>
      <c r="H197">
        <v>0.2</v>
      </c>
      <c r="I197">
        <v>132</v>
      </c>
      <c r="J197">
        <v>16.61</v>
      </c>
    </row>
    <row r="198" spans="1:10" x14ac:dyDescent="0.25">
      <c r="A198" t="s">
        <v>368</v>
      </c>
      <c r="B198" s="1">
        <v>45717</v>
      </c>
      <c r="C198" t="s">
        <v>369</v>
      </c>
      <c r="D198" t="s">
        <v>81</v>
      </c>
      <c r="E198" t="s">
        <v>13</v>
      </c>
      <c r="F198" t="s">
        <v>29</v>
      </c>
      <c r="G198">
        <v>5</v>
      </c>
      <c r="H198">
        <v>0.05</v>
      </c>
      <c r="I198">
        <v>213.75</v>
      </c>
      <c r="J198">
        <v>62.1</v>
      </c>
    </row>
    <row r="199" spans="1:10" x14ac:dyDescent="0.25">
      <c r="A199" t="s">
        <v>370</v>
      </c>
      <c r="B199" s="1">
        <v>45717</v>
      </c>
      <c r="C199" t="s">
        <v>371</v>
      </c>
      <c r="D199" t="s">
        <v>32</v>
      </c>
      <c r="E199" t="s">
        <v>28</v>
      </c>
      <c r="F199" t="s">
        <v>21</v>
      </c>
      <c r="G199">
        <v>3</v>
      </c>
      <c r="H199">
        <v>0.15</v>
      </c>
      <c r="I199">
        <v>1275</v>
      </c>
      <c r="J199">
        <v>91.08</v>
      </c>
    </row>
    <row r="200" spans="1:10" x14ac:dyDescent="0.25">
      <c r="A200" t="s">
        <v>372</v>
      </c>
      <c r="B200" s="1">
        <v>45718</v>
      </c>
      <c r="C200" t="s">
        <v>373</v>
      </c>
      <c r="D200" t="s">
        <v>37</v>
      </c>
      <c r="E200" t="s">
        <v>28</v>
      </c>
      <c r="F200" t="s">
        <v>14</v>
      </c>
      <c r="G200">
        <v>5</v>
      </c>
      <c r="H200">
        <v>0.05</v>
      </c>
      <c r="I200">
        <v>380</v>
      </c>
      <c r="J200">
        <v>103.88</v>
      </c>
    </row>
    <row r="201" spans="1:10" x14ac:dyDescent="0.25">
      <c r="A201" t="s">
        <v>374</v>
      </c>
      <c r="B201" s="1">
        <v>45718</v>
      </c>
      <c r="C201" t="s">
        <v>375</v>
      </c>
      <c r="D201" t="s">
        <v>91</v>
      </c>
      <c r="E201" t="s">
        <v>13</v>
      </c>
      <c r="F201" t="s">
        <v>29</v>
      </c>
      <c r="G201">
        <v>2</v>
      </c>
      <c r="H201">
        <v>0.05</v>
      </c>
      <c r="I201">
        <v>57</v>
      </c>
      <c r="J201">
        <v>18.89</v>
      </c>
    </row>
    <row r="202" spans="1:10" x14ac:dyDescent="0.25">
      <c r="A202" t="s">
        <v>376</v>
      </c>
      <c r="B202" s="1">
        <v>45718</v>
      </c>
      <c r="C202" t="s">
        <v>324</v>
      </c>
      <c r="D202" t="s">
        <v>32</v>
      </c>
      <c r="E202" t="s">
        <v>28</v>
      </c>
      <c r="F202" t="s">
        <v>21</v>
      </c>
      <c r="G202">
        <v>2</v>
      </c>
      <c r="H202">
        <v>0</v>
      </c>
      <c r="I202">
        <v>1000</v>
      </c>
      <c r="J202">
        <v>317.08</v>
      </c>
    </row>
    <row r="203" spans="1:10" x14ac:dyDescent="0.25">
      <c r="A203" t="s">
        <v>377</v>
      </c>
      <c r="B203" s="1">
        <v>45719</v>
      </c>
      <c r="C203" t="s">
        <v>378</v>
      </c>
      <c r="D203" t="s">
        <v>50</v>
      </c>
      <c r="E203" t="s">
        <v>28</v>
      </c>
      <c r="F203" t="s">
        <v>38</v>
      </c>
      <c r="G203">
        <v>1</v>
      </c>
      <c r="H203">
        <v>0</v>
      </c>
      <c r="I203">
        <v>240</v>
      </c>
      <c r="J203">
        <v>65.19</v>
      </c>
    </row>
    <row r="204" spans="1:10" x14ac:dyDescent="0.25">
      <c r="A204" t="s">
        <v>379</v>
      </c>
      <c r="B204" s="1">
        <v>45719</v>
      </c>
      <c r="C204" t="s">
        <v>76</v>
      </c>
      <c r="D204" t="s">
        <v>91</v>
      </c>
      <c r="E204" t="s">
        <v>13</v>
      </c>
      <c r="F204" t="s">
        <v>29</v>
      </c>
      <c r="G204">
        <v>5</v>
      </c>
      <c r="H204">
        <v>0.15</v>
      </c>
      <c r="I204">
        <v>127.5</v>
      </c>
      <c r="J204">
        <v>12.78</v>
      </c>
    </row>
    <row r="205" spans="1:10" x14ac:dyDescent="0.25">
      <c r="A205" t="s">
        <v>380</v>
      </c>
      <c r="B205" s="1">
        <v>45719</v>
      </c>
      <c r="C205" t="s">
        <v>381</v>
      </c>
      <c r="D205" t="s">
        <v>50</v>
      </c>
      <c r="E205" t="s">
        <v>28</v>
      </c>
      <c r="F205" t="s">
        <v>38</v>
      </c>
      <c r="G205">
        <v>2</v>
      </c>
      <c r="H205">
        <v>0.05</v>
      </c>
      <c r="I205">
        <v>456</v>
      </c>
      <c r="J205">
        <v>137.16</v>
      </c>
    </row>
    <row r="206" spans="1:10" x14ac:dyDescent="0.25">
      <c r="A206" t="s">
        <v>382</v>
      </c>
      <c r="B206" s="1">
        <v>45719</v>
      </c>
      <c r="C206" t="s">
        <v>383</v>
      </c>
      <c r="D206" t="s">
        <v>73</v>
      </c>
      <c r="E206" t="s">
        <v>74</v>
      </c>
      <c r="F206" t="s">
        <v>38</v>
      </c>
      <c r="G206">
        <v>1</v>
      </c>
      <c r="H206">
        <v>0</v>
      </c>
      <c r="I206">
        <v>8</v>
      </c>
      <c r="J206">
        <v>2.13</v>
      </c>
    </row>
    <row r="207" spans="1:10" x14ac:dyDescent="0.25">
      <c r="A207" t="s">
        <v>384</v>
      </c>
      <c r="B207" s="1">
        <v>45720</v>
      </c>
      <c r="C207" t="s">
        <v>385</v>
      </c>
      <c r="D207" t="s">
        <v>24</v>
      </c>
      <c r="E207" t="s">
        <v>20</v>
      </c>
      <c r="F207" t="s">
        <v>14</v>
      </c>
      <c r="G207">
        <v>1</v>
      </c>
      <c r="H207">
        <v>0</v>
      </c>
      <c r="I207">
        <v>220</v>
      </c>
      <c r="J207">
        <v>78.53</v>
      </c>
    </row>
    <row r="208" spans="1:10" x14ac:dyDescent="0.25">
      <c r="A208" t="s">
        <v>386</v>
      </c>
      <c r="B208" s="1">
        <v>45720</v>
      </c>
      <c r="C208" t="s">
        <v>387</v>
      </c>
      <c r="D208" t="s">
        <v>37</v>
      </c>
      <c r="E208" t="s">
        <v>28</v>
      </c>
      <c r="F208" t="s">
        <v>14</v>
      </c>
      <c r="G208">
        <v>4</v>
      </c>
      <c r="H208">
        <v>0.15</v>
      </c>
      <c r="I208">
        <v>272</v>
      </c>
      <c r="J208">
        <v>53.18</v>
      </c>
    </row>
    <row r="209" spans="1:10" x14ac:dyDescent="0.25">
      <c r="A209" t="s">
        <v>388</v>
      </c>
      <c r="B209" s="1">
        <v>45720</v>
      </c>
      <c r="C209" t="s">
        <v>31</v>
      </c>
      <c r="D209" t="s">
        <v>91</v>
      </c>
      <c r="E209" t="s">
        <v>13</v>
      </c>
      <c r="F209" t="s">
        <v>14</v>
      </c>
      <c r="G209">
        <v>3</v>
      </c>
      <c r="H209">
        <v>0.1</v>
      </c>
      <c r="I209">
        <v>81</v>
      </c>
      <c r="J209">
        <v>16.54</v>
      </c>
    </row>
    <row r="210" spans="1:10" x14ac:dyDescent="0.25">
      <c r="A210" t="s">
        <v>389</v>
      </c>
      <c r="B210" s="1">
        <v>45721</v>
      </c>
      <c r="C210" t="s">
        <v>390</v>
      </c>
      <c r="D210" t="s">
        <v>91</v>
      </c>
      <c r="E210" t="s">
        <v>13</v>
      </c>
      <c r="F210" t="s">
        <v>29</v>
      </c>
      <c r="G210">
        <v>2</v>
      </c>
      <c r="H210">
        <v>0.1</v>
      </c>
      <c r="I210">
        <v>54</v>
      </c>
      <c r="J210">
        <v>16.02</v>
      </c>
    </row>
    <row r="211" spans="1:10" x14ac:dyDescent="0.25">
      <c r="A211" t="s">
        <v>391</v>
      </c>
      <c r="B211" s="1">
        <v>45721</v>
      </c>
      <c r="C211" t="s">
        <v>392</v>
      </c>
      <c r="D211" t="s">
        <v>27</v>
      </c>
      <c r="E211" t="s">
        <v>28</v>
      </c>
      <c r="F211" t="s">
        <v>14</v>
      </c>
      <c r="G211">
        <v>4</v>
      </c>
      <c r="H211">
        <v>0.15</v>
      </c>
      <c r="I211">
        <v>2210</v>
      </c>
      <c r="J211">
        <v>432.25</v>
      </c>
    </row>
    <row r="212" spans="1:10" x14ac:dyDescent="0.25">
      <c r="A212" t="s">
        <v>393</v>
      </c>
      <c r="B212" s="1">
        <v>45721</v>
      </c>
      <c r="C212" t="s">
        <v>68</v>
      </c>
      <c r="D212" t="s">
        <v>73</v>
      </c>
      <c r="E212" t="s">
        <v>74</v>
      </c>
      <c r="F212" t="s">
        <v>21</v>
      </c>
      <c r="G212">
        <v>4</v>
      </c>
      <c r="H212">
        <v>0</v>
      </c>
      <c r="I212">
        <v>32</v>
      </c>
      <c r="J212">
        <v>12</v>
      </c>
    </row>
    <row r="213" spans="1:10" x14ac:dyDescent="0.25">
      <c r="A213" t="s">
        <v>394</v>
      </c>
      <c r="B213" s="1">
        <v>45722</v>
      </c>
      <c r="C213" t="s">
        <v>208</v>
      </c>
      <c r="D213" t="s">
        <v>12</v>
      </c>
      <c r="E213" t="s">
        <v>13</v>
      </c>
      <c r="F213" t="s">
        <v>38</v>
      </c>
      <c r="G213">
        <v>5</v>
      </c>
      <c r="H213">
        <v>0.1</v>
      </c>
      <c r="I213">
        <v>247.5</v>
      </c>
      <c r="J213">
        <v>25.35</v>
      </c>
    </row>
    <row r="214" spans="1:10" x14ac:dyDescent="0.25">
      <c r="A214" t="s">
        <v>395</v>
      </c>
      <c r="B214" s="1">
        <v>45722</v>
      </c>
      <c r="C214" t="s">
        <v>396</v>
      </c>
      <c r="D214" t="s">
        <v>12</v>
      </c>
      <c r="E214" t="s">
        <v>13</v>
      </c>
      <c r="F214" t="s">
        <v>29</v>
      </c>
      <c r="G214">
        <v>4</v>
      </c>
      <c r="H214">
        <v>0</v>
      </c>
      <c r="I214">
        <v>220</v>
      </c>
      <c r="J214">
        <v>79.7</v>
      </c>
    </row>
    <row r="215" spans="1:10" x14ac:dyDescent="0.25">
      <c r="A215" t="s">
        <v>397</v>
      </c>
      <c r="B215" s="1">
        <v>45722</v>
      </c>
      <c r="C215" t="s">
        <v>398</v>
      </c>
      <c r="D215" t="s">
        <v>50</v>
      </c>
      <c r="E215" t="s">
        <v>28</v>
      </c>
      <c r="F215" t="s">
        <v>21</v>
      </c>
      <c r="G215">
        <v>4</v>
      </c>
      <c r="H215">
        <v>0.2</v>
      </c>
      <c r="I215">
        <v>768</v>
      </c>
      <c r="J215">
        <v>25.29</v>
      </c>
    </row>
    <row r="216" spans="1:10" x14ac:dyDescent="0.25">
      <c r="A216" t="s">
        <v>399</v>
      </c>
      <c r="B216" s="1">
        <v>45722</v>
      </c>
      <c r="C216" t="s">
        <v>189</v>
      </c>
      <c r="D216" t="s">
        <v>27</v>
      </c>
      <c r="E216" t="s">
        <v>28</v>
      </c>
      <c r="F216" t="s">
        <v>21</v>
      </c>
      <c r="G216">
        <v>3</v>
      </c>
      <c r="H216">
        <v>0.05</v>
      </c>
      <c r="I216">
        <v>1852.5</v>
      </c>
      <c r="J216">
        <v>527.66999999999996</v>
      </c>
    </row>
    <row r="217" spans="1:10" x14ac:dyDescent="0.25">
      <c r="A217" t="s">
        <v>400</v>
      </c>
      <c r="B217" s="1">
        <v>45723</v>
      </c>
      <c r="C217" t="s">
        <v>252</v>
      </c>
      <c r="D217" t="s">
        <v>24</v>
      </c>
      <c r="E217" t="s">
        <v>20</v>
      </c>
      <c r="F217" t="s">
        <v>38</v>
      </c>
      <c r="G217">
        <v>1</v>
      </c>
      <c r="H217">
        <v>0.05</v>
      </c>
      <c r="I217">
        <v>209</v>
      </c>
      <c r="J217">
        <v>32.549999999999997</v>
      </c>
    </row>
    <row r="218" spans="1:10" x14ac:dyDescent="0.25">
      <c r="A218" t="s">
        <v>401</v>
      </c>
      <c r="B218" s="1">
        <v>45723</v>
      </c>
      <c r="C218" t="s">
        <v>402</v>
      </c>
      <c r="D218" t="s">
        <v>27</v>
      </c>
      <c r="E218" t="s">
        <v>28</v>
      </c>
      <c r="F218" t="s">
        <v>14</v>
      </c>
      <c r="G218">
        <v>1</v>
      </c>
      <c r="H218">
        <v>0.1</v>
      </c>
      <c r="I218">
        <v>585</v>
      </c>
      <c r="J218">
        <v>153.63</v>
      </c>
    </row>
    <row r="219" spans="1:10" x14ac:dyDescent="0.25">
      <c r="A219" t="s">
        <v>403</v>
      </c>
      <c r="B219" s="1">
        <v>45723</v>
      </c>
      <c r="C219" t="s">
        <v>404</v>
      </c>
      <c r="D219" t="s">
        <v>24</v>
      </c>
      <c r="E219" t="s">
        <v>20</v>
      </c>
      <c r="F219" t="s">
        <v>21</v>
      </c>
      <c r="G219">
        <v>3</v>
      </c>
      <c r="H219">
        <v>0.1</v>
      </c>
      <c r="I219">
        <v>594</v>
      </c>
      <c r="J219">
        <v>55.13</v>
      </c>
    </row>
    <row r="220" spans="1:10" x14ac:dyDescent="0.25">
      <c r="A220" t="s">
        <v>405</v>
      </c>
      <c r="B220" s="1">
        <v>45724</v>
      </c>
      <c r="C220" t="s">
        <v>406</v>
      </c>
      <c r="D220" t="s">
        <v>37</v>
      </c>
      <c r="E220" t="s">
        <v>28</v>
      </c>
      <c r="F220" t="s">
        <v>29</v>
      </c>
      <c r="G220">
        <v>1</v>
      </c>
      <c r="H220">
        <v>0.1</v>
      </c>
      <c r="I220">
        <v>72</v>
      </c>
      <c r="J220">
        <v>21.36</v>
      </c>
    </row>
    <row r="221" spans="1:10" x14ac:dyDescent="0.25">
      <c r="A221" t="s">
        <v>407</v>
      </c>
      <c r="B221" s="1">
        <v>45724</v>
      </c>
      <c r="C221" t="s">
        <v>254</v>
      </c>
      <c r="D221" t="s">
        <v>81</v>
      </c>
      <c r="E221" t="s">
        <v>13</v>
      </c>
      <c r="F221" t="s">
        <v>21</v>
      </c>
      <c r="G221">
        <v>5</v>
      </c>
      <c r="H221">
        <v>0.15</v>
      </c>
      <c r="I221">
        <v>191.25</v>
      </c>
      <c r="J221">
        <v>46.33</v>
      </c>
    </row>
    <row r="222" spans="1:10" x14ac:dyDescent="0.25">
      <c r="A222" t="s">
        <v>408</v>
      </c>
      <c r="B222" s="1">
        <v>45724</v>
      </c>
      <c r="C222" t="s">
        <v>409</v>
      </c>
      <c r="D222" t="s">
        <v>50</v>
      </c>
      <c r="E222" t="s">
        <v>28</v>
      </c>
      <c r="F222" t="s">
        <v>14</v>
      </c>
      <c r="G222">
        <v>2</v>
      </c>
      <c r="H222">
        <v>0</v>
      </c>
      <c r="I222">
        <v>480</v>
      </c>
      <c r="J222">
        <v>90.5</v>
      </c>
    </row>
    <row r="223" spans="1:10" x14ac:dyDescent="0.25">
      <c r="A223" t="s">
        <v>410</v>
      </c>
      <c r="B223" s="1">
        <v>45725</v>
      </c>
      <c r="C223" t="s">
        <v>411</v>
      </c>
      <c r="D223" t="s">
        <v>24</v>
      </c>
      <c r="E223" t="s">
        <v>20</v>
      </c>
      <c r="F223" t="s">
        <v>14</v>
      </c>
      <c r="G223">
        <v>1</v>
      </c>
      <c r="H223">
        <v>0.1</v>
      </c>
      <c r="I223">
        <v>198</v>
      </c>
      <c r="J223">
        <v>35.32</v>
      </c>
    </row>
    <row r="224" spans="1:10" x14ac:dyDescent="0.25">
      <c r="A224" t="s">
        <v>412</v>
      </c>
      <c r="B224" s="1">
        <v>45725</v>
      </c>
      <c r="C224" t="s">
        <v>378</v>
      </c>
      <c r="D224" t="s">
        <v>73</v>
      </c>
      <c r="E224" t="s">
        <v>74</v>
      </c>
      <c r="F224" t="s">
        <v>38</v>
      </c>
      <c r="G224">
        <v>3</v>
      </c>
      <c r="H224">
        <v>0.15</v>
      </c>
      <c r="I224">
        <v>20.399999999999999</v>
      </c>
      <c r="J224">
        <v>2.1800000000000002</v>
      </c>
    </row>
    <row r="225" spans="1:10" x14ac:dyDescent="0.25">
      <c r="A225" t="s">
        <v>413</v>
      </c>
      <c r="B225" s="1">
        <v>45725</v>
      </c>
      <c r="C225" t="s">
        <v>414</v>
      </c>
      <c r="D225" t="s">
        <v>32</v>
      </c>
      <c r="E225" t="s">
        <v>28</v>
      </c>
      <c r="F225" t="s">
        <v>21</v>
      </c>
      <c r="G225">
        <v>5</v>
      </c>
      <c r="H225">
        <v>0</v>
      </c>
      <c r="I225">
        <v>2500</v>
      </c>
      <c r="J225">
        <v>681.51</v>
      </c>
    </row>
    <row r="226" spans="1:10" x14ac:dyDescent="0.25">
      <c r="A226" t="s">
        <v>415</v>
      </c>
      <c r="B226" s="1">
        <v>45726</v>
      </c>
      <c r="C226" t="s">
        <v>416</v>
      </c>
      <c r="D226" t="s">
        <v>24</v>
      </c>
      <c r="E226" t="s">
        <v>20</v>
      </c>
      <c r="F226" t="s">
        <v>29</v>
      </c>
      <c r="G226">
        <v>2</v>
      </c>
      <c r="H226">
        <v>0.05</v>
      </c>
      <c r="I226">
        <v>418</v>
      </c>
      <c r="J226">
        <v>110.78</v>
      </c>
    </row>
    <row r="227" spans="1:10" x14ac:dyDescent="0.25">
      <c r="A227" t="s">
        <v>417</v>
      </c>
      <c r="B227" s="1">
        <v>45726</v>
      </c>
      <c r="C227" t="s">
        <v>49</v>
      </c>
      <c r="D227" t="s">
        <v>50</v>
      </c>
      <c r="E227" t="s">
        <v>28</v>
      </c>
      <c r="F227" t="s">
        <v>38</v>
      </c>
      <c r="G227">
        <v>3</v>
      </c>
      <c r="H227">
        <v>0.2</v>
      </c>
      <c r="I227">
        <v>576</v>
      </c>
      <c r="J227">
        <v>5.45</v>
      </c>
    </row>
    <row r="228" spans="1:10" x14ac:dyDescent="0.25">
      <c r="A228" t="s">
        <v>418</v>
      </c>
      <c r="B228" s="1">
        <v>45726</v>
      </c>
      <c r="C228" t="s">
        <v>419</v>
      </c>
      <c r="D228" t="s">
        <v>91</v>
      </c>
      <c r="E228" t="s">
        <v>13</v>
      </c>
      <c r="F228" t="s">
        <v>38</v>
      </c>
      <c r="G228">
        <v>1</v>
      </c>
      <c r="H228">
        <v>0.1</v>
      </c>
      <c r="I228">
        <v>27</v>
      </c>
      <c r="J228">
        <v>7.88</v>
      </c>
    </row>
    <row r="229" spans="1:10" x14ac:dyDescent="0.25">
      <c r="A229" t="s">
        <v>420</v>
      </c>
      <c r="B229" s="1">
        <v>45726</v>
      </c>
      <c r="C229" t="s">
        <v>421</v>
      </c>
      <c r="D229" t="s">
        <v>81</v>
      </c>
      <c r="E229" t="s">
        <v>13</v>
      </c>
      <c r="F229" t="s">
        <v>29</v>
      </c>
      <c r="G229">
        <v>3</v>
      </c>
      <c r="H229">
        <v>0.1</v>
      </c>
      <c r="I229">
        <v>121.5</v>
      </c>
      <c r="J229">
        <v>24.41</v>
      </c>
    </row>
    <row r="230" spans="1:10" x14ac:dyDescent="0.25">
      <c r="A230" t="s">
        <v>422</v>
      </c>
      <c r="B230" s="1">
        <v>45727</v>
      </c>
      <c r="C230" t="s">
        <v>84</v>
      </c>
      <c r="D230" t="s">
        <v>24</v>
      </c>
      <c r="E230" t="s">
        <v>20</v>
      </c>
      <c r="F230" t="s">
        <v>21</v>
      </c>
      <c r="G230">
        <v>5</v>
      </c>
      <c r="H230">
        <v>0.15</v>
      </c>
      <c r="I230">
        <v>935</v>
      </c>
      <c r="J230">
        <v>144.07</v>
      </c>
    </row>
    <row r="231" spans="1:10" x14ac:dyDescent="0.25">
      <c r="A231" t="s">
        <v>423</v>
      </c>
      <c r="B231" s="1">
        <v>45727</v>
      </c>
      <c r="C231" t="s">
        <v>273</v>
      </c>
      <c r="D231" t="s">
        <v>32</v>
      </c>
      <c r="E231" t="s">
        <v>28</v>
      </c>
      <c r="F231" t="s">
        <v>38</v>
      </c>
      <c r="G231">
        <v>2</v>
      </c>
      <c r="H231">
        <v>0.1</v>
      </c>
      <c r="I231">
        <v>900</v>
      </c>
      <c r="J231">
        <v>147.58000000000001</v>
      </c>
    </row>
    <row r="232" spans="1:10" x14ac:dyDescent="0.25">
      <c r="A232" t="s">
        <v>424</v>
      </c>
      <c r="B232" s="1">
        <v>45727</v>
      </c>
      <c r="C232" t="s">
        <v>425</v>
      </c>
      <c r="D232" t="s">
        <v>27</v>
      </c>
      <c r="E232" t="s">
        <v>28</v>
      </c>
      <c r="F232" t="s">
        <v>38</v>
      </c>
      <c r="G232">
        <v>3</v>
      </c>
      <c r="H232">
        <v>0.15</v>
      </c>
      <c r="I232">
        <v>1657.5</v>
      </c>
      <c r="J232">
        <v>352.84</v>
      </c>
    </row>
    <row r="233" spans="1:10" x14ac:dyDescent="0.25">
      <c r="A233" t="s">
        <v>426</v>
      </c>
      <c r="B233" s="1">
        <v>45728</v>
      </c>
      <c r="C233" t="s">
        <v>68</v>
      </c>
      <c r="D233" t="s">
        <v>50</v>
      </c>
      <c r="E233" t="s">
        <v>28</v>
      </c>
      <c r="F233" t="s">
        <v>29</v>
      </c>
      <c r="G233">
        <v>5</v>
      </c>
      <c r="H233">
        <v>0.15</v>
      </c>
      <c r="I233">
        <v>1020</v>
      </c>
      <c r="J233">
        <v>108.61</v>
      </c>
    </row>
    <row r="234" spans="1:10" x14ac:dyDescent="0.25">
      <c r="A234" t="s">
        <v>427</v>
      </c>
      <c r="B234" s="1">
        <v>45728</v>
      </c>
      <c r="C234" t="s">
        <v>240</v>
      </c>
      <c r="D234" t="s">
        <v>81</v>
      </c>
      <c r="E234" t="s">
        <v>13</v>
      </c>
      <c r="F234" t="s">
        <v>38</v>
      </c>
      <c r="G234">
        <v>4</v>
      </c>
      <c r="H234">
        <v>0</v>
      </c>
      <c r="I234">
        <v>180</v>
      </c>
      <c r="J234">
        <v>36.69</v>
      </c>
    </row>
    <row r="235" spans="1:10" x14ac:dyDescent="0.25">
      <c r="A235" t="s">
        <v>428</v>
      </c>
      <c r="B235" s="1">
        <v>45728</v>
      </c>
      <c r="C235" t="s">
        <v>123</v>
      </c>
      <c r="D235" t="s">
        <v>12</v>
      </c>
      <c r="E235" t="s">
        <v>13</v>
      </c>
      <c r="F235" t="s">
        <v>38</v>
      </c>
      <c r="G235">
        <v>2</v>
      </c>
      <c r="H235">
        <v>0</v>
      </c>
      <c r="I235">
        <v>110</v>
      </c>
      <c r="J235">
        <v>34.43</v>
      </c>
    </row>
    <row r="236" spans="1:10" x14ac:dyDescent="0.25">
      <c r="A236" t="s">
        <v>429</v>
      </c>
      <c r="B236" s="1">
        <v>45729</v>
      </c>
      <c r="C236" t="s">
        <v>212</v>
      </c>
      <c r="D236" t="s">
        <v>37</v>
      </c>
      <c r="E236" t="s">
        <v>28</v>
      </c>
      <c r="F236" t="s">
        <v>38</v>
      </c>
      <c r="G236">
        <v>4</v>
      </c>
      <c r="H236">
        <v>0.1</v>
      </c>
      <c r="I236">
        <v>288</v>
      </c>
      <c r="J236">
        <v>41.18</v>
      </c>
    </row>
    <row r="237" spans="1:10" x14ac:dyDescent="0.25">
      <c r="A237" t="s">
        <v>430</v>
      </c>
      <c r="B237" s="1">
        <v>45729</v>
      </c>
      <c r="C237" t="s">
        <v>324</v>
      </c>
      <c r="D237" t="s">
        <v>37</v>
      </c>
      <c r="E237" t="s">
        <v>28</v>
      </c>
      <c r="F237" t="s">
        <v>29</v>
      </c>
      <c r="G237">
        <v>5</v>
      </c>
      <c r="H237">
        <v>0.1</v>
      </c>
      <c r="I237">
        <v>360</v>
      </c>
      <c r="J237">
        <v>33.51</v>
      </c>
    </row>
    <row r="238" spans="1:10" x14ac:dyDescent="0.25">
      <c r="A238" t="s">
        <v>431</v>
      </c>
      <c r="B238" s="1">
        <v>45729</v>
      </c>
      <c r="C238" t="s">
        <v>432</v>
      </c>
      <c r="D238" t="s">
        <v>37</v>
      </c>
      <c r="E238" t="s">
        <v>28</v>
      </c>
      <c r="F238" t="s">
        <v>14</v>
      </c>
      <c r="G238">
        <v>4</v>
      </c>
      <c r="H238">
        <v>0</v>
      </c>
      <c r="I238">
        <v>320</v>
      </c>
      <c r="J238">
        <v>69.2</v>
      </c>
    </row>
    <row r="239" spans="1:10" x14ac:dyDescent="0.25">
      <c r="A239" t="s">
        <v>433</v>
      </c>
      <c r="B239" s="1">
        <v>45729</v>
      </c>
      <c r="C239" t="s">
        <v>434</v>
      </c>
      <c r="D239" t="s">
        <v>37</v>
      </c>
      <c r="E239" t="s">
        <v>28</v>
      </c>
      <c r="F239" t="s">
        <v>29</v>
      </c>
      <c r="G239">
        <v>4</v>
      </c>
      <c r="H239">
        <v>0.1</v>
      </c>
      <c r="I239">
        <v>288</v>
      </c>
      <c r="J239">
        <v>29.95</v>
      </c>
    </row>
    <row r="240" spans="1:10" x14ac:dyDescent="0.25">
      <c r="A240" t="s">
        <v>435</v>
      </c>
      <c r="B240" s="1">
        <v>45730</v>
      </c>
      <c r="C240" t="s">
        <v>324</v>
      </c>
      <c r="D240" t="s">
        <v>19</v>
      </c>
      <c r="E240" t="s">
        <v>20</v>
      </c>
      <c r="F240" t="s">
        <v>29</v>
      </c>
      <c r="G240">
        <v>4</v>
      </c>
      <c r="H240">
        <v>0</v>
      </c>
      <c r="I240">
        <v>720</v>
      </c>
      <c r="J240">
        <v>230.26</v>
      </c>
    </row>
    <row r="241" spans="1:10" x14ac:dyDescent="0.25">
      <c r="A241" t="s">
        <v>436</v>
      </c>
      <c r="B241" s="1">
        <v>45730</v>
      </c>
      <c r="C241" t="s">
        <v>437</v>
      </c>
      <c r="D241" t="s">
        <v>81</v>
      </c>
      <c r="E241" t="s">
        <v>13</v>
      </c>
      <c r="F241" t="s">
        <v>38</v>
      </c>
      <c r="G241">
        <v>1</v>
      </c>
      <c r="H241">
        <v>0.1</v>
      </c>
      <c r="I241">
        <v>40.5</v>
      </c>
      <c r="J241">
        <v>9.49</v>
      </c>
    </row>
    <row r="242" spans="1:10" x14ac:dyDescent="0.25">
      <c r="A242" t="s">
        <v>438</v>
      </c>
      <c r="B242" s="1">
        <v>45730</v>
      </c>
      <c r="C242" t="s">
        <v>439</v>
      </c>
      <c r="D242" t="s">
        <v>37</v>
      </c>
      <c r="E242" t="s">
        <v>28</v>
      </c>
      <c r="F242" t="s">
        <v>29</v>
      </c>
      <c r="G242">
        <v>2</v>
      </c>
      <c r="H242">
        <v>0.2</v>
      </c>
      <c r="I242">
        <v>128</v>
      </c>
      <c r="J242">
        <v>7.17</v>
      </c>
    </row>
    <row r="243" spans="1:10" x14ac:dyDescent="0.25">
      <c r="A243" t="s">
        <v>440</v>
      </c>
      <c r="B243" s="1">
        <v>45731</v>
      </c>
      <c r="C243" t="s">
        <v>56</v>
      </c>
      <c r="D243" t="s">
        <v>32</v>
      </c>
      <c r="E243" t="s">
        <v>28</v>
      </c>
      <c r="F243" t="s">
        <v>21</v>
      </c>
      <c r="G243">
        <v>4</v>
      </c>
      <c r="H243">
        <v>0.15</v>
      </c>
      <c r="I243">
        <v>1700</v>
      </c>
      <c r="J243">
        <v>450.17</v>
      </c>
    </row>
    <row r="244" spans="1:10" x14ac:dyDescent="0.25">
      <c r="A244" t="s">
        <v>441</v>
      </c>
      <c r="B244" s="1">
        <v>45731</v>
      </c>
      <c r="C244" t="s">
        <v>268</v>
      </c>
      <c r="D244" t="s">
        <v>32</v>
      </c>
      <c r="E244" t="s">
        <v>28</v>
      </c>
      <c r="F244" t="s">
        <v>14</v>
      </c>
      <c r="G244">
        <v>3</v>
      </c>
      <c r="H244">
        <v>0.1</v>
      </c>
      <c r="I244">
        <v>1350</v>
      </c>
      <c r="J244">
        <v>286.23</v>
      </c>
    </row>
    <row r="245" spans="1:10" x14ac:dyDescent="0.25">
      <c r="A245" t="s">
        <v>442</v>
      </c>
      <c r="B245" s="1">
        <v>45731</v>
      </c>
      <c r="C245" t="s">
        <v>443</v>
      </c>
      <c r="D245" t="s">
        <v>19</v>
      </c>
      <c r="E245" t="s">
        <v>20</v>
      </c>
      <c r="F245" t="s">
        <v>38</v>
      </c>
      <c r="G245">
        <v>1</v>
      </c>
      <c r="H245">
        <v>0</v>
      </c>
      <c r="I245">
        <v>180</v>
      </c>
      <c r="J245">
        <v>37.65</v>
      </c>
    </row>
    <row r="246" spans="1:10" x14ac:dyDescent="0.25">
      <c r="A246" t="s">
        <v>444</v>
      </c>
      <c r="B246" s="1">
        <v>45732</v>
      </c>
      <c r="C246" t="s">
        <v>119</v>
      </c>
      <c r="D246" t="s">
        <v>19</v>
      </c>
      <c r="E246" t="s">
        <v>20</v>
      </c>
      <c r="F246" t="s">
        <v>38</v>
      </c>
      <c r="G246">
        <v>2</v>
      </c>
      <c r="H246">
        <v>0.15</v>
      </c>
      <c r="I246">
        <v>306</v>
      </c>
      <c r="J246">
        <v>66.239999999999995</v>
      </c>
    </row>
    <row r="247" spans="1:10" x14ac:dyDescent="0.25">
      <c r="A247" t="s">
        <v>445</v>
      </c>
      <c r="B247" s="1">
        <v>45732</v>
      </c>
      <c r="C247" t="s">
        <v>181</v>
      </c>
      <c r="D247" t="s">
        <v>27</v>
      </c>
      <c r="E247" t="s">
        <v>28</v>
      </c>
      <c r="F247" t="s">
        <v>21</v>
      </c>
      <c r="G247">
        <v>4</v>
      </c>
      <c r="H247">
        <v>0</v>
      </c>
      <c r="I247">
        <v>2600</v>
      </c>
      <c r="J247">
        <v>607.74</v>
      </c>
    </row>
    <row r="248" spans="1:10" x14ac:dyDescent="0.25">
      <c r="A248" t="s">
        <v>446</v>
      </c>
      <c r="B248" s="1">
        <v>45732</v>
      </c>
      <c r="C248" t="s">
        <v>128</v>
      </c>
      <c r="D248" t="s">
        <v>32</v>
      </c>
      <c r="E248" t="s">
        <v>28</v>
      </c>
      <c r="F248" t="s">
        <v>29</v>
      </c>
      <c r="G248">
        <v>1</v>
      </c>
      <c r="H248">
        <v>0.05</v>
      </c>
      <c r="I248">
        <v>475</v>
      </c>
      <c r="J248">
        <v>133.80000000000001</v>
      </c>
    </row>
    <row r="249" spans="1:10" x14ac:dyDescent="0.25">
      <c r="A249" t="s">
        <v>447</v>
      </c>
      <c r="B249" s="1">
        <v>45732</v>
      </c>
      <c r="C249" t="s">
        <v>448</v>
      </c>
      <c r="D249" t="s">
        <v>81</v>
      </c>
      <c r="E249" t="s">
        <v>13</v>
      </c>
      <c r="F249" t="s">
        <v>29</v>
      </c>
      <c r="G249">
        <v>2</v>
      </c>
      <c r="H249">
        <v>0</v>
      </c>
      <c r="I249">
        <v>90</v>
      </c>
      <c r="J249">
        <v>33.64</v>
      </c>
    </row>
    <row r="250" spans="1:10" x14ac:dyDescent="0.25">
      <c r="A250" t="s">
        <v>449</v>
      </c>
      <c r="B250" s="1">
        <v>45733</v>
      </c>
      <c r="C250" t="s">
        <v>194</v>
      </c>
      <c r="D250" t="s">
        <v>37</v>
      </c>
      <c r="E250" t="s">
        <v>28</v>
      </c>
      <c r="F250" t="s">
        <v>14</v>
      </c>
      <c r="G250">
        <v>4</v>
      </c>
      <c r="H250">
        <v>0.05</v>
      </c>
      <c r="I250">
        <v>304</v>
      </c>
      <c r="J250">
        <v>43.64</v>
      </c>
    </row>
    <row r="251" spans="1:10" x14ac:dyDescent="0.25">
      <c r="A251" t="s">
        <v>450</v>
      </c>
      <c r="B251" s="1">
        <v>45733</v>
      </c>
      <c r="C251" t="s">
        <v>125</v>
      </c>
      <c r="D251" t="s">
        <v>24</v>
      </c>
      <c r="E251" t="s">
        <v>20</v>
      </c>
      <c r="F251" t="s">
        <v>29</v>
      </c>
      <c r="G251">
        <v>3</v>
      </c>
      <c r="H251">
        <v>0.15</v>
      </c>
      <c r="I251">
        <v>561</v>
      </c>
      <c r="J251">
        <v>51.34</v>
      </c>
    </row>
    <row r="252" spans="1:10" x14ac:dyDescent="0.25">
      <c r="A252" t="s">
        <v>451</v>
      </c>
      <c r="B252" s="1">
        <v>45733</v>
      </c>
      <c r="C252" t="s">
        <v>64</v>
      </c>
      <c r="D252" t="s">
        <v>73</v>
      </c>
      <c r="E252" t="s">
        <v>74</v>
      </c>
      <c r="F252" t="s">
        <v>21</v>
      </c>
      <c r="G252">
        <v>3</v>
      </c>
      <c r="H252">
        <v>0</v>
      </c>
      <c r="I252">
        <v>24</v>
      </c>
      <c r="J252">
        <v>6.9</v>
      </c>
    </row>
    <row r="253" spans="1:10" x14ac:dyDescent="0.25">
      <c r="A253" t="s">
        <v>452</v>
      </c>
      <c r="B253" s="1">
        <v>45734</v>
      </c>
      <c r="C253" t="s">
        <v>49</v>
      </c>
      <c r="D253" t="s">
        <v>12</v>
      </c>
      <c r="E253" t="s">
        <v>13</v>
      </c>
      <c r="F253" t="s">
        <v>21</v>
      </c>
      <c r="G253">
        <v>1</v>
      </c>
      <c r="H253">
        <v>0.1</v>
      </c>
      <c r="I253">
        <v>49.5</v>
      </c>
      <c r="J253">
        <v>12.68</v>
      </c>
    </row>
    <row r="254" spans="1:10" x14ac:dyDescent="0.25">
      <c r="A254" t="s">
        <v>453</v>
      </c>
      <c r="B254" s="1">
        <v>45734</v>
      </c>
      <c r="C254" t="s">
        <v>204</v>
      </c>
      <c r="D254" t="s">
        <v>50</v>
      </c>
      <c r="E254" t="s">
        <v>28</v>
      </c>
      <c r="F254" t="s">
        <v>21</v>
      </c>
      <c r="G254">
        <v>4</v>
      </c>
      <c r="H254">
        <v>0</v>
      </c>
      <c r="I254">
        <v>960</v>
      </c>
      <c r="J254">
        <v>253.06</v>
      </c>
    </row>
    <row r="255" spans="1:10" x14ac:dyDescent="0.25">
      <c r="A255" t="s">
        <v>454</v>
      </c>
      <c r="B255" s="1">
        <v>45734</v>
      </c>
      <c r="C255" t="s">
        <v>455</v>
      </c>
      <c r="D255" t="s">
        <v>91</v>
      </c>
      <c r="E255" t="s">
        <v>13</v>
      </c>
      <c r="F255" t="s">
        <v>21</v>
      </c>
      <c r="G255">
        <v>3</v>
      </c>
      <c r="H255">
        <v>0.2</v>
      </c>
      <c r="I255">
        <v>72</v>
      </c>
      <c r="J255">
        <v>13.51</v>
      </c>
    </row>
    <row r="256" spans="1:10" x14ac:dyDescent="0.25">
      <c r="A256" t="s">
        <v>456</v>
      </c>
      <c r="B256" s="1">
        <v>45735</v>
      </c>
      <c r="C256" t="s">
        <v>457</v>
      </c>
      <c r="D256" t="s">
        <v>37</v>
      </c>
      <c r="E256" t="s">
        <v>28</v>
      </c>
      <c r="F256" t="s">
        <v>14</v>
      </c>
      <c r="G256">
        <v>3</v>
      </c>
      <c r="H256">
        <v>0.1</v>
      </c>
      <c r="I256">
        <v>216</v>
      </c>
      <c r="J256">
        <v>25.91</v>
      </c>
    </row>
    <row r="257" spans="1:10" x14ac:dyDescent="0.25">
      <c r="A257" t="s">
        <v>458</v>
      </c>
      <c r="B257" s="1">
        <v>45735</v>
      </c>
      <c r="C257" t="s">
        <v>153</v>
      </c>
      <c r="D257" t="s">
        <v>91</v>
      </c>
      <c r="E257" t="s">
        <v>13</v>
      </c>
      <c r="F257" t="s">
        <v>14</v>
      </c>
      <c r="G257">
        <v>3</v>
      </c>
      <c r="H257">
        <v>0.05</v>
      </c>
      <c r="I257">
        <v>85.5</v>
      </c>
      <c r="J257">
        <v>27.81</v>
      </c>
    </row>
    <row r="258" spans="1:10" x14ac:dyDescent="0.25">
      <c r="A258" t="s">
        <v>459</v>
      </c>
      <c r="B258" s="1">
        <v>45735</v>
      </c>
      <c r="C258" t="s">
        <v>460</v>
      </c>
      <c r="D258" t="s">
        <v>81</v>
      </c>
      <c r="E258" t="s">
        <v>13</v>
      </c>
      <c r="F258" t="s">
        <v>29</v>
      </c>
      <c r="G258">
        <v>4</v>
      </c>
      <c r="H258">
        <v>0.1</v>
      </c>
      <c r="I258">
        <v>162</v>
      </c>
      <c r="J258">
        <v>30.25</v>
      </c>
    </row>
    <row r="259" spans="1:10" x14ac:dyDescent="0.25">
      <c r="A259" t="s">
        <v>461</v>
      </c>
      <c r="B259" s="1">
        <v>45736</v>
      </c>
      <c r="C259" t="s">
        <v>462</v>
      </c>
      <c r="D259" t="s">
        <v>27</v>
      </c>
      <c r="E259" t="s">
        <v>28</v>
      </c>
      <c r="F259" t="s">
        <v>29</v>
      </c>
      <c r="G259">
        <v>2</v>
      </c>
      <c r="H259">
        <v>0.1</v>
      </c>
      <c r="I259">
        <v>1170</v>
      </c>
      <c r="J259">
        <v>134.54</v>
      </c>
    </row>
    <row r="260" spans="1:10" x14ac:dyDescent="0.25">
      <c r="A260" t="s">
        <v>463</v>
      </c>
      <c r="B260" s="1">
        <v>45736</v>
      </c>
      <c r="C260" t="s">
        <v>214</v>
      </c>
      <c r="D260" t="s">
        <v>73</v>
      </c>
      <c r="E260" t="s">
        <v>74</v>
      </c>
      <c r="F260" t="s">
        <v>21</v>
      </c>
      <c r="G260">
        <v>2</v>
      </c>
      <c r="H260">
        <v>0.2</v>
      </c>
      <c r="I260">
        <v>12.8</v>
      </c>
      <c r="J260">
        <v>2.2400000000000002</v>
      </c>
    </row>
    <row r="261" spans="1:10" x14ac:dyDescent="0.25">
      <c r="A261" t="s">
        <v>464</v>
      </c>
      <c r="B261" s="1">
        <v>45736</v>
      </c>
      <c r="C261" t="s">
        <v>416</v>
      </c>
      <c r="D261" t="s">
        <v>37</v>
      </c>
      <c r="E261" t="s">
        <v>28</v>
      </c>
      <c r="F261" t="s">
        <v>21</v>
      </c>
      <c r="G261">
        <v>2</v>
      </c>
      <c r="H261">
        <v>0</v>
      </c>
      <c r="I261">
        <v>160</v>
      </c>
      <c r="J261">
        <v>57.45</v>
      </c>
    </row>
    <row r="262" spans="1:10" x14ac:dyDescent="0.25">
      <c r="A262" t="s">
        <v>465</v>
      </c>
      <c r="B262" s="1">
        <v>45736</v>
      </c>
      <c r="C262" t="s">
        <v>439</v>
      </c>
      <c r="D262" t="s">
        <v>50</v>
      </c>
      <c r="E262" t="s">
        <v>28</v>
      </c>
      <c r="F262" t="s">
        <v>29</v>
      </c>
      <c r="G262">
        <v>1</v>
      </c>
      <c r="H262">
        <v>0</v>
      </c>
      <c r="I262">
        <v>240</v>
      </c>
      <c r="J262">
        <v>65.22</v>
      </c>
    </row>
    <row r="263" spans="1:10" x14ac:dyDescent="0.25">
      <c r="A263" t="s">
        <v>466</v>
      </c>
      <c r="B263" s="1">
        <v>45737</v>
      </c>
      <c r="C263" t="s">
        <v>467</v>
      </c>
      <c r="D263" t="s">
        <v>91</v>
      </c>
      <c r="E263" t="s">
        <v>13</v>
      </c>
      <c r="F263" t="s">
        <v>38</v>
      </c>
      <c r="G263">
        <v>2</v>
      </c>
      <c r="H263">
        <v>0.1</v>
      </c>
      <c r="I263">
        <v>54</v>
      </c>
      <c r="J263">
        <v>7.4</v>
      </c>
    </row>
    <row r="264" spans="1:10" x14ac:dyDescent="0.25">
      <c r="A264" t="s">
        <v>468</v>
      </c>
      <c r="B264" s="1">
        <v>45737</v>
      </c>
      <c r="C264" t="s">
        <v>117</v>
      </c>
      <c r="D264" t="s">
        <v>12</v>
      </c>
      <c r="E264" t="s">
        <v>13</v>
      </c>
      <c r="F264" t="s">
        <v>21</v>
      </c>
      <c r="G264">
        <v>3</v>
      </c>
      <c r="H264">
        <v>0.15</v>
      </c>
      <c r="I264">
        <v>140.25</v>
      </c>
      <c r="J264">
        <v>19.88</v>
      </c>
    </row>
    <row r="265" spans="1:10" x14ac:dyDescent="0.25">
      <c r="A265" t="s">
        <v>469</v>
      </c>
      <c r="B265" s="1">
        <v>45737</v>
      </c>
      <c r="C265" t="s">
        <v>212</v>
      </c>
      <c r="D265" t="s">
        <v>32</v>
      </c>
      <c r="E265" t="s">
        <v>28</v>
      </c>
      <c r="F265" t="s">
        <v>38</v>
      </c>
      <c r="G265">
        <v>1</v>
      </c>
      <c r="H265">
        <v>0</v>
      </c>
      <c r="I265">
        <v>500</v>
      </c>
      <c r="J265">
        <v>146.13999999999999</v>
      </c>
    </row>
    <row r="266" spans="1:10" x14ac:dyDescent="0.25">
      <c r="A266" t="s">
        <v>470</v>
      </c>
      <c r="B266" s="1">
        <v>45738</v>
      </c>
      <c r="C266" t="s">
        <v>260</v>
      </c>
      <c r="D266" t="s">
        <v>50</v>
      </c>
      <c r="E266" t="s">
        <v>28</v>
      </c>
      <c r="F266" t="s">
        <v>29</v>
      </c>
      <c r="G266">
        <v>5</v>
      </c>
      <c r="H266">
        <v>0.1</v>
      </c>
      <c r="I266">
        <v>1080</v>
      </c>
      <c r="J266">
        <v>257.04000000000002</v>
      </c>
    </row>
    <row r="267" spans="1:10" x14ac:dyDescent="0.25">
      <c r="A267" t="s">
        <v>471</v>
      </c>
      <c r="B267" s="1">
        <v>45738</v>
      </c>
      <c r="C267" t="s">
        <v>472</v>
      </c>
      <c r="D267" t="s">
        <v>91</v>
      </c>
      <c r="E267" t="s">
        <v>13</v>
      </c>
      <c r="F267" t="s">
        <v>21</v>
      </c>
      <c r="G267">
        <v>5</v>
      </c>
      <c r="H267">
        <v>0.15</v>
      </c>
      <c r="I267">
        <v>127.5</v>
      </c>
      <c r="J267">
        <v>14.74</v>
      </c>
    </row>
    <row r="268" spans="1:10" x14ac:dyDescent="0.25">
      <c r="A268" t="s">
        <v>473</v>
      </c>
      <c r="B268" s="1">
        <v>45738</v>
      </c>
      <c r="C268" t="s">
        <v>425</v>
      </c>
      <c r="D268" t="s">
        <v>81</v>
      </c>
      <c r="E268" t="s">
        <v>13</v>
      </c>
      <c r="F268" t="s">
        <v>38</v>
      </c>
      <c r="G268">
        <v>2</v>
      </c>
      <c r="H268">
        <v>0.1</v>
      </c>
      <c r="I268">
        <v>81</v>
      </c>
      <c r="J268">
        <v>19.22</v>
      </c>
    </row>
    <row r="269" spans="1:10" x14ac:dyDescent="0.25">
      <c r="A269" t="s">
        <v>474</v>
      </c>
      <c r="B269" s="1">
        <v>45739</v>
      </c>
      <c r="C269" t="s">
        <v>237</v>
      </c>
      <c r="D269" t="s">
        <v>73</v>
      </c>
      <c r="E269" t="s">
        <v>74</v>
      </c>
      <c r="F269" t="s">
        <v>14</v>
      </c>
      <c r="G269">
        <v>3</v>
      </c>
      <c r="H269">
        <v>0.1</v>
      </c>
      <c r="I269">
        <v>21.6</v>
      </c>
      <c r="J269">
        <v>6.37</v>
      </c>
    </row>
    <row r="270" spans="1:10" x14ac:dyDescent="0.25">
      <c r="A270" t="s">
        <v>475</v>
      </c>
      <c r="B270" s="1">
        <v>45739</v>
      </c>
      <c r="C270" t="s">
        <v>476</v>
      </c>
      <c r="D270" t="s">
        <v>12</v>
      </c>
      <c r="E270" t="s">
        <v>13</v>
      </c>
      <c r="F270" t="s">
        <v>29</v>
      </c>
      <c r="G270">
        <v>4</v>
      </c>
      <c r="H270">
        <v>0</v>
      </c>
      <c r="I270">
        <v>220</v>
      </c>
      <c r="J270">
        <v>41.33</v>
      </c>
    </row>
    <row r="271" spans="1:10" x14ac:dyDescent="0.25">
      <c r="A271" t="s">
        <v>477</v>
      </c>
      <c r="B271" s="1">
        <v>45739</v>
      </c>
      <c r="C271" t="s">
        <v>78</v>
      </c>
      <c r="D271" t="s">
        <v>24</v>
      </c>
      <c r="E271" t="s">
        <v>20</v>
      </c>
      <c r="F271" t="s">
        <v>21</v>
      </c>
      <c r="G271">
        <v>4</v>
      </c>
      <c r="H271">
        <v>0.1</v>
      </c>
      <c r="I271">
        <v>792</v>
      </c>
      <c r="J271">
        <v>111.28</v>
      </c>
    </row>
    <row r="272" spans="1:10" x14ac:dyDescent="0.25">
      <c r="A272" t="s">
        <v>478</v>
      </c>
      <c r="B272" s="1">
        <v>45739</v>
      </c>
      <c r="C272" t="s">
        <v>204</v>
      </c>
      <c r="D272" t="s">
        <v>27</v>
      </c>
      <c r="E272" t="s">
        <v>28</v>
      </c>
      <c r="F272" t="s">
        <v>21</v>
      </c>
      <c r="G272">
        <v>3</v>
      </c>
      <c r="H272">
        <v>0.1</v>
      </c>
      <c r="I272">
        <v>1755</v>
      </c>
      <c r="J272">
        <v>374.94</v>
      </c>
    </row>
    <row r="273" spans="1:10" x14ac:dyDescent="0.25">
      <c r="A273" t="s">
        <v>479</v>
      </c>
      <c r="B273" s="1">
        <v>45740</v>
      </c>
      <c r="C273" t="s">
        <v>297</v>
      </c>
      <c r="D273" t="s">
        <v>19</v>
      </c>
      <c r="E273" t="s">
        <v>20</v>
      </c>
      <c r="F273" t="s">
        <v>21</v>
      </c>
      <c r="G273">
        <v>2</v>
      </c>
      <c r="H273">
        <v>0.1</v>
      </c>
      <c r="I273">
        <v>324</v>
      </c>
      <c r="J273">
        <v>43.71</v>
      </c>
    </row>
    <row r="274" spans="1:10" x14ac:dyDescent="0.25">
      <c r="A274" t="s">
        <v>480</v>
      </c>
      <c r="B274" s="1">
        <v>45740</v>
      </c>
      <c r="C274" t="s">
        <v>31</v>
      </c>
      <c r="D274" t="s">
        <v>32</v>
      </c>
      <c r="E274" t="s">
        <v>28</v>
      </c>
      <c r="F274" t="s">
        <v>14</v>
      </c>
      <c r="G274">
        <v>3</v>
      </c>
      <c r="H274">
        <v>0.05</v>
      </c>
      <c r="I274">
        <v>1425</v>
      </c>
      <c r="J274">
        <v>387.25</v>
      </c>
    </row>
    <row r="275" spans="1:10" x14ac:dyDescent="0.25">
      <c r="A275" t="s">
        <v>481</v>
      </c>
      <c r="B275" s="1">
        <v>45740</v>
      </c>
      <c r="C275" t="s">
        <v>246</v>
      </c>
      <c r="D275" t="s">
        <v>37</v>
      </c>
      <c r="E275" t="s">
        <v>28</v>
      </c>
      <c r="F275" t="s">
        <v>29</v>
      </c>
      <c r="G275">
        <v>5</v>
      </c>
      <c r="H275">
        <v>0.1</v>
      </c>
      <c r="I275">
        <v>360</v>
      </c>
      <c r="J275">
        <v>101.47</v>
      </c>
    </row>
    <row r="276" spans="1:10" x14ac:dyDescent="0.25">
      <c r="A276" t="s">
        <v>482</v>
      </c>
      <c r="B276" s="1">
        <v>45741</v>
      </c>
      <c r="C276" t="s">
        <v>402</v>
      </c>
      <c r="D276" t="s">
        <v>12</v>
      </c>
      <c r="E276" t="s">
        <v>13</v>
      </c>
      <c r="F276" t="s">
        <v>14</v>
      </c>
      <c r="G276">
        <v>2</v>
      </c>
      <c r="H276">
        <v>0</v>
      </c>
      <c r="I276">
        <v>110</v>
      </c>
      <c r="J276">
        <v>20.43</v>
      </c>
    </row>
    <row r="277" spans="1:10" x14ac:dyDescent="0.25">
      <c r="A277" t="s">
        <v>483</v>
      </c>
      <c r="B277" s="1">
        <v>45741</v>
      </c>
      <c r="C277" t="s">
        <v>467</v>
      </c>
      <c r="D277" t="s">
        <v>81</v>
      </c>
      <c r="E277" t="s">
        <v>13</v>
      </c>
      <c r="F277" t="s">
        <v>21</v>
      </c>
      <c r="G277">
        <v>5</v>
      </c>
      <c r="H277">
        <v>0.05</v>
      </c>
      <c r="I277">
        <v>213.75</v>
      </c>
      <c r="J277">
        <v>69.87</v>
      </c>
    </row>
    <row r="278" spans="1:10" x14ac:dyDescent="0.25">
      <c r="A278" t="s">
        <v>484</v>
      </c>
      <c r="B278" s="1">
        <v>45741</v>
      </c>
      <c r="C278" t="s">
        <v>194</v>
      </c>
      <c r="D278" t="s">
        <v>91</v>
      </c>
      <c r="E278" t="s">
        <v>13</v>
      </c>
      <c r="F278" t="s">
        <v>38</v>
      </c>
      <c r="G278">
        <v>1</v>
      </c>
      <c r="H278">
        <v>0.1</v>
      </c>
      <c r="I278">
        <v>27</v>
      </c>
      <c r="J278">
        <v>7.83</v>
      </c>
    </row>
    <row r="279" spans="1:10" x14ac:dyDescent="0.25">
      <c r="A279" t="s">
        <v>485</v>
      </c>
      <c r="B279" s="1">
        <v>45742</v>
      </c>
      <c r="C279" t="s">
        <v>486</v>
      </c>
      <c r="D279" t="s">
        <v>50</v>
      </c>
      <c r="E279" t="s">
        <v>28</v>
      </c>
      <c r="F279" t="s">
        <v>38</v>
      </c>
      <c r="G279">
        <v>1</v>
      </c>
      <c r="H279">
        <v>0.05</v>
      </c>
      <c r="I279">
        <v>228</v>
      </c>
      <c r="J279">
        <v>38.020000000000003</v>
      </c>
    </row>
    <row r="280" spans="1:10" x14ac:dyDescent="0.25">
      <c r="A280" t="s">
        <v>487</v>
      </c>
      <c r="B280" s="1">
        <v>45742</v>
      </c>
      <c r="C280" t="s">
        <v>488</v>
      </c>
      <c r="D280" t="s">
        <v>27</v>
      </c>
      <c r="E280" t="s">
        <v>28</v>
      </c>
      <c r="F280" t="s">
        <v>38</v>
      </c>
      <c r="G280">
        <v>4</v>
      </c>
      <c r="H280">
        <v>0</v>
      </c>
      <c r="I280">
        <v>2600</v>
      </c>
      <c r="J280">
        <v>483.69</v>
      </c>
    </row>
    <row r="281" spans="1:10" x14ac:dyDescent="0.25">
      <c r="A281" t="s">
        <v>489</v>
      </c>
      <c r="B281" s="1">
        <v>45742</v>
      </c>
      <c r="C281" t="s">
        <v>490</v>
      </c>
      <c r="D281" t="s">
        <v>73</v>
      </c>
      <c r="E281" t="s">
        <v>74</v>
      </c>
      <c r="F281" t="s">
        <v>21</v>
      </c>
      <c r="G281">
        <v>3</v>
      </c>
      <c r="H281">
        <v>0.05</v>
      </c>
      <c r="I281">
        <v>22.8</v>
      </c>
      <c r="J281">
        <v>6.33</v>
      </c>
    </row>
    <row r="282" spans="1:10" x14ac:dyDescent="0.25">
      <c r="A282" t="s">
        <v>491</v>
      </c>
      <c r="B282" s="1">
        <v>45743</v>
      </c>
      <c r="C282" t="s">
        <v>202</v>
      </c>
      <c r="D282" t="s">
        <v>50</v>
      </c>
      <c r="E282" t="s">
        <v>28</v>
      </c>
      <c r="F282" t="s">
        <v>14</v>
      </c>
      <c r="G282">
        <v>1</v>
      </c>
      <c r="H282">
        <v>0.05</v>
      </c>
      <c r="I282">
        <v>228</v>
      </c>
      <c r="J282">
        <v>50.98</v>
      </c>
    </row>
    <row r="283" spans="1:10" x14ac:dyDescent="0.25">
      <c r="A283" t="s">
        <v>492</v>
      </c>
      <c r="B283" s="1">
        <v>45743</v>
      </c>
      <c r="C283" t="s">
        <v>493</v>
      </c>
      <c r="D283" t="s">
        <v>81</v>
      </c>
      <c r="E283" t="s">
        <v>13</v>
      </c>
      <c r="F283" t="s">
        <v>14</v>
      </c>
      <c r="G283">
        <v>4</v>
      </c>
      <c r="H283">
        <v>0.05</v>
      </c>
      <c r="I283">
        <v>171</v>
      </c>
      <c r="J283">
        <v>37.6</v>
      </c>
    </row>
    <row r="284" spans="1:10" x14ac:dyDescent="0.25">
      <c r="A284" t="s">
        <v>494</v>
      </c>
      <c r="B284" s="1">
        <v>45743</v>
      </c>
      <c r="C284" t="s">
        <v>495</v>
      </c>
      <c r="D284" t="s">
        <v>24</v>
      </c>
      <c r="E284" t="s">
        <v>20</v>
      </c>
      <c r="F284" t="s">
        <v>38</v>
      </c>
      <c r="G284">
        <v>1</v>
      </c>
      <c r="H284">
        <v>0.15</v>
      </c>
      <c r="I284">
        <v>187</v>
      </c>
      <c r="J284">
        <v>15.15</v>
      </c>
    </row>
    <row r="285" spans="1:10" x14ac:dyDescent="0.25">
      <c r="A285" t="s">
        <v>496</v>
      </c>
      <c r="B285" s="1">
        <v>45743</v>
      </c>
      <c r="C285" t="s">
        <v>308</v>
      </c>
      <c r="D285" t="s">
        <v>81</v>
      </c>
      <c r="E285" t="s">
        <v>13</v>
      </c>
      <c r="F285" t="s">
        <v>14</v>
      </c>
      <c r="G285">
        <v>4</v>
      </c>
      <c r="H285">
        <v>0.1</v>
      </c>
      <c r="I285">
        <v>162</v>
      </c>
      <c r="J285">
        <v>49.17</v>
      </c>
    </row>
    <row r="286" spans="1:10" x14ac:dyDescent="0.25">
      <c r="A286" t="s">
        <v>497</v>
      </c>
      <c r="B286" s="1">
        <v>45744</v>
      </c>
      <c r="C286" t="s">
        <v>58</v>
      </c>
      <c r="D286" t="s">
        <v>24</v>
      </c>
      <c r="E286" t="s">
        <v>20</v>
      </c>
      <c r="F286" t="s">
        <v>21</v>
      </c>
      <c r="G286">
        <v>4</v>
      </c>
      <c r="H286">
        <v>0</v>
      </c>
      <c r="I286">
        <v>880</v>
      </c>
      <c r="J286">
        <v>221.76</v>
      </c>
    </row>
    <row r="287" spans="1:10" x14ac:dyDescent="0.25">
      <c r="A287" t="s">
        <v>498</v>
      </c>
      <c r="B287" s="1">
        <v>45744</v>
      </c>
      <c r="C287" t="s">
        <v>165</v>
      </c>
      <c r="D287" t="s">
        <v>24</v>
      </c>
      <c r="E287" t="s">
        <v>20</v>
      </c>
      <c r="F287" t="s">
        <v>21</v>
      </c>
      <c r="G287">
        <v>5</v>
      </c>
      <c r="H287">
        <v>0</v>
      </c>
      <c r="I287">
        <v>1100</v>
      </c>
      <c r="J287">
        <v>395.27</v>
      </c>
    </row>
    <row r="288" spans="1:10" x14ac:dyDescent="0.25">
      <c r="A288" t="s">
        <v>499</v>
      </c>
      <c r="B288" s="1">
        <v>45744</v>
      </c>
      <c r="C288" t="s">
        <v>132</v>
      </c>
      <c r="D288" t="s">
        <v>73</v>
      </c>
      <c r="E288" t="s">
        <v>74</v>
      </c>
      <c r="F288" t="s">
        <v>21</v>
      </c>
      <c r="G288">
        <v>4</v>
      </c>
      <c r="H288">
        <v>0.2</v>
      </c>
      <c r="I288">
        <v>25.6</v>
      </c>
      <c r="J288">
        <v>-0.42</v>
      </c>
    </row>
    <row r="289" spans="1:10" x14ac:dyDescent="0.25">
      <c r="A289" t="s">
        <v>500</v>
      </c>
      <c r="B289" s="1">
        <v>45745</v>
      </c>
      <c r="C289" t="s">
        <v>187</v>
      </c>
      <c r="D289" t="s">
        <v>37</v>
      </c>
      <c r="E289" t="s">
        <v>28</v>
      </c>
      <c r="F289" t="s">
        <v>29</v>
      </c>
      <c r="G289">
        <v>1</v>
      </c>
      <c r="H289">
        <v>0.1</v>
      </c>
      <c r="I289">
        <v>72</v>
      </c>
      <c r="J289">
        <v>8.51</v>
      </c>
    </row>
    <row r="290" spans="1:10" x14ac:dyDescent="0.25">
      <c r="A290" t="s">
        <v>501</v>
      </c>
      <c r="B290" s="1">
        <v>45745</v>
      </c>
      <c r="C290" t="s">
        <v>200</v>
      </c>
      <c r="D290" t="s">
        <v>37</v>
      </c>
      <c r="E290" t="s">
        <v>28</v>
      </c>
      <c r="F290" t="s">
        <v>14</v>
      </c>
      <c r="G290">
        <v>4</v>
      </c>
      <c r="H290">
        <v>0.1</v>
      </c>
      <c r="I290">
        <v>288</v>
      </c>
      <c r="J290">
        <v>81.55</v>
      </c>
    </row>
    <row r="291" spans="1:10" x14ac:dyDescent="0.25">
      <c r="A291" t="s">
        <v>502</v>
      </c>
      <c r="B291" s="1">
        <v>45745</v>
      </c>
      <c r="C291" t="s">
        <v>373</v>
      </c>
      <c r="D291" t="s">
        <v>19</v>
      </c>
      <c r="E291" t="s">
        <v>20</v>
      </c>
      <c r="F291" t="s">
        <v>38</v>
      </c>
      <c r="G291">
        <v>2</v>
      </c>
      <c r="H291">
        <v>0</v>
      </c>
      <c r="I291">
        <v>360</v>
      </c>
      <c r="J291">
        <v>88.31</v>
      </c>
    </row>
    <row r="292" spans="1:10" x14ac:dyDescent="0.25">
      <c r="A292" t="s">
        <v>503</v>
      </c>
      <c r="B292" s="1">
        <v>45746</v>
      </c>
      <c r="C292" t="s">
        <v>504</v>
      </c>
      <c r="D292" t="s">
        <v>91</v>
      </c>
      <c r="E292" t="s">
        <v>13</v>
      </c>
      <c r="F292" t="s">
        <v>38</v>
      </c>
      <c r="G292">
        <v>5</v>
      </c>
      <c r="H292">
        <v>0.05</v>
      </c>
      <c r="I292">
        <v>142.5</v>
      </c>
      <c r="J292">
        <v>23.46</v>
      </c>
    </row>
    <row r="293" spans="1:10" x14ac:dyDescent="0.25">
      <c r="A293" t="s">
        <v>505</v>
      </c>
      <c r="B293" s="1">
        <v>45746</v>
      </c>
      <c r="C293" t="s">
        <v>506</v>
      </c>
      <c r="D293" t="s">
        <v>37</v>
      </c>
      <c r="E293" t="s">
        <v>28</v>
      </c>
      <c r="F293" t="s">
        <v>21</v>
      </c>
      <c r="G293">
        <v>1</v>
      </c>
      <c r="H293">
        <v>0.15</v>
      </c>
      <c r="I293">
        <v>68</v>
      </c>
      <c r="J293">
        <v>3.29</v>
      </c>
    </row>
    <row r="294" spans="1:10" x14ac:dyDescent="0.25">
      <c r="A294" t="s">
        <v>507</v>
      </c>
      <c r="B294" s="1">
        <v>45746</v>
      </c>
      <c r="C294" t="s">
        <v>153</v>
      </c>
      <c r="D294" t="s">
        <v>27</v>
      </c>
      <c r="E294" t="s">
        <v>28</v>
      </c>
      <c r="F294" t="s">
        <v>38</v>
      </c>
      <c r="G294">
        <v>2</v>
      </c>
      <c r="H294">
        <v>0.15</v>
      </c>
      <c r="I294">
        <v>1105</v>
      </c>
      <c r="J294">
        <v>150.63999999999999</v>
      </c>
    </row>
    <row r="295" spans="1:10" x14ac:dyDescent="0.25">
      <c r="A295" t="s">
        <v>508</v>
      </c>
      <c r="B295" s="1">
        <v>45746</v>
      </c>
      <c r="C295" t="s">
        <v>121</v>
      </c>
      <c r="D295" t="s">
        <v>91</v>
      </c>
      <c r="E295" t="s">
        <v>13</v>
      </c>
      <c r="F295" t="s">
        <v>38</v>
      </c>
      <c r="G295">
        <v>1</v>
      </c>
      <c r="H295">
        <v>0.1</v>
      </c>
      <c r="I295">
        <v>27</v>
      </c>
      <c r="J295">
        <v>4.34</v>
      </c>
    </row>
    <row r="296" spans="1:10" x14ac:dyDescent="0.25">
      <c r="A296" t="s">
        <v>509</v>
      </c>
      <c r="B296" s="1">
        <v>45747</v>
      </c>
      <c r="C296" t="s">
        <v>175</v>
      </c>
      <c r="D296" t="s">
        <v>24</v>
      </c>
      <c r="E296" t="s">
        <v>20</v>
      </c>
      <c r="F296" t="s">
        <v>21</v>
      </c>
      <c r="G296">
        <v>5</v>
      </c>
      <c r="H296">
        <v>0.1</v>
      </c>
      <c r="I296">
        <v>990</v>
      </c>
      <c r="J296">
        <v>231.31</v>
      </c>
    </row>
    <row r="297" spans="1:10" x14ac:dyDescent="0.25">
      <c r="A297" t="s">
        <v>510</v>
      </c>
      <c r="B297" s="1">
        <v>45747</v>
      </c>
      <c r="C297" t="s">
        <v>252</v>
      </c>
      <c r="D297" t="s">
        <v>50</v>
      </c>
      <c r="E297" t="s">
        <v>28</v>
      </c>
      <c r="F297" t="s">
        <v>14</v>
      </c>
      <c r="G297">
        <v>1</v>
      </c>
      <c r="H297">
        <v>0.05</v>
      </c>
      <c r="I297">
        <v>228</v>
      </c>
      <c r="J297">
        <v>37.4</v>
      </c>
    </row>
    <row r="298" spans="1:10" x14ac:dyDescent="0.25">
      <c r="A298" t="s">
        <v>511</v>
      </c>
      <c r="B298" s="1">
        <v>45747</v>
      </c>
      <c r="C298" t="s">
        <v>512</v>
      </c>
      <c r="D298" t="s">
        <v>50</v>
      </c>
      <c r="E298" t="s">
        <v>28</v>
      </c>
      <c r="F298" t="s">
        <v>21</v>
      </c>
      <c r="G298">
        <v>3</v>
      </c>
      <c r="H298">
        <v>0.15</v>
      </c>
      <c r="I298">
        <v>612</v>
      </c>
      <c r="J298">
        <v>107.4</v>
      </c>
    </row>
    <row r="299" spans="1:10" x14ac:dyDescent="0.25">
      <c r="A299" t="s">
        <v>513</v>
      </c>
      <c r="B299" s="1">
        <v>45748</v>
      </c>
      <c r="C299" t="s">
        <v>373</v>
      </c>
      <c r="D299" t="s">
        <v>32</v>
      </c>
      <c r="E299" t="s">
        <v>28</v>
      </c>
      <c r="F299" t="s">
        <v>29</v>
      </c>
      <c r="G299">
        <v>2</v>
      </c>
      <c r="H299">
        <v>0.15</v>
      </c>
      <c r="I299">
        <v>850</v>
      </c>
      <c r="J299">
        <v>70.44</v>
      </c>
    </row>
    <row r="300" spans="1:10" x14ac:dyDescent="0.25">
      <c r="A300" t="s">
        <v>514</v>
      </c>
      <c r="B300" s="1">
        <v>45748</v>
      </c>
      <c r="C300" t="s">
        <v>515</v>
      </c>
      <c r="D300" t="s">
        <v>81</v>
      </c>
      <c r="E300" t="s">
        <v>13</v>
      </c>
      <c r="F300" t="s">
        <v>38</v>
      </c>
      <c r="G300">
        <v>1</v>
      </c>
      <c r="H300">
        <v>0.05</v>
      </c>
      <c r="I300">
        <v>42.75</v>
      </c>
      <c r="J300">
        <v>9.18</v>
      </c>
    </row>
    <row r="301" spans="1:10" x14ac:dyDescent="0.25">
      <c r="A301" t="s">
        <v>516</v>
      </c>
      <c r="B301" s="1">
        <v>45748</v>
      </c>
      <c r="C301" t="s">
        <v>84</v>
      </c>
      <c r="D301" t="s">
        <v>24</v>
      </c>
      <c r="E301" t="s">
        <v>20</v>
      </c>
      <c r="F301" t="s">
        <v>14</v>
      </c>
      <c r="G301">
        <v>3</v>
      </c>
      <c r="H301">
        <v>0.05</v>
      </c>
      <c r="I301">
        <v>627</v>
      </c>
      <c r="J301">
        <v>158.57</v>
      </c>
    </row>
    <row r="302" spans="1:10" x14ac:dyDescent="0.25">
      <c r="A302" t="s">
        <v>517</v>
      </c>
      <c r="B302" s="1">
        <v>45749</v>
      </c>
      <c r="C302" t="s">
        <v>518</v>
      </c>
      <c r="D302" t="s">
        <v>32</v>
      </c>
      <c r="E302" t="s">
        <v>28</v>
      </c>
      <c r="F302" t="s">
        <v>21</v>
      </c>
      <c r="G302">
        <v>4</v>
      </c>
      <c r="H302">
        <v>0</v>
      </c>
      <c r="I302">
        <v>2000</v>
      </c>
      <c r="J302">
        <v>525.17999999999995</v>
      </c>
    </row>
    <row r="303" spans="1:10" x14ac:dyDescent="0.25">
      <c r="A303" t="s">
        <v>519</v>
      </c>
      <c r="B303" s="1">
        <v>45749</v>
      </c>
      <c r="C303" t="s">
        <v>224</v>
      </c>
      <c r="D303" t="s">
        <v>73</v>
      </c>
      <c r="E303" t="s">
        <v>74</v>
      </c>
      <c r="F303" t="s">
        <v>29</v>
      </c>
      <c r="G303">
        <v>2</v>
      </c>
      <c r="H303">
        <v>0.05</v>
      </c>
      <c r="I303">
        <v>15.2</v>
      </c>
      <c r="J303">
        <v>4.0599999999999996</v>
      </c>
    </row>
    <row r="304" spans="1:10" x14ac:dyDescent="0.25">
      <c r="A304" t="s">
        <v>520</v>
      </c>
      <c r="B304" s="1">
        <v>45749</v>
      </c>
      <c r="C304" t="s">
        <v>212</v>
      </c>
      <c r="D304" t="s">
        <v>37</v>
      </c>
      <c r="E304" t="s">
        <v>28</v>
      </c>
      <c r="F304" t="s">
        <v>14</v>
      </c>
      <c r="G304">
        <v>4</v>
      </c>
      <c r="H304">
        <v>0</v>
      </c>
      <c r="I304">
        <v>320</v>
      </c>
      <c r="J304">
        <v>99.76</v>
      </c>
    </row>
    <row r="305" spans="1:10" x14ac:dyDescent="0.25">
      <c r="A305" t="s">
        <v>521</v>
      </c>
      <c r="B305" s="1">
        <v>45749</v>
      </c>
      <c r="C305" t="s">
        <v>167</v>
      </c>
      <c r="D305" t="s">
        <v>37</v>
      </c>
      <c r="E305" t="s">
        <v>28</v>
      </c>
      <c r="F305" t="s">
        <v>29</v>
      </c>
      <c r="G305">
        <v>5</v>
      </c>
      <c r="H305">
        <v>0</v>
      </c>
      <c r="I305">
        <v>400</v>
      </c>
      <c r="J305">
        <v>113.86</v>
      </c>
    </row>
    <row r="306" spans="1:10" x14ac:dyDescent="0.25">
      <c r="A306" t="s">
        <v>522</v>
      </c>
      <c r="B306" s="1">
        <v>45750</v>
      </c>
      <c r="C306" t="s">
        <v>523</v>
      </c>
      <c r="D306" t="s">
        <v>12</v>
      </c>
      <c r="E306" t="s">
        <v>13</v>
      </c>
      <c r="F306" t="s">
        <v>38</v>
      </c>
      <c r="G306">
        <v>2</v>
      </c>
      <c r="H306">
        <v>0.1</v>
      </c>
      <c r="I306">
        <v>99</v>
      </c>
      <c r="J306">
        <v>19.329999999999998</v>
      </c>
    </row>
    <row r="307" spans="1:10" x14ac:dyDescent="0.25">
      <c r="A307" t="s">
        <v>524</v>
      </c>
      <c r="B307" s="1">
        <v>45750</v>
      </c>
      <c r="C307" t="s">
        <v>277</v>
      </c>
      <c r="D307" t="s">
        <v>12</v>
      </c>
      <c r="E307" t="s">
        <v>13</v>
      </c>
      <c r="F307" t="s">
        <v>38</v>
      </c>
      <c r="G307">
        <v>5</v>
      </c>
      <c r="H307">
        <v>0.15</v>
      </c>
      <c r="I307">
        <v>233.75</v>
      </c>
      <c r="J307">
        <v>49.86</v>
      </c>
    </row>
    <row r="308" spans="1:10" x14ac:dyDescent="0.25">
      <c r="A308" t="s">
        <v>525</v>
      </c>
      <c r="B308" s="1">
        <v>45750</v>
      </c>
      <c r="C308" t="s">
        <v>80</v>
      </c>
      <c r="D308" t="s">
        <v>19</v>
      </c>
      <c r="E308" t="s">
        <v>20</v>
      </c>
      <c r="F308" t="s">
        <v>21</v>
      </c>
      <c r="G308">
        <v>5</v>
      </c>
      <c r="H308">
        <v>0.05</v>
      </c>
      <c r="I308">
        <v>855</v>
      </c>
      <c r="J308">
        <v>261.98</v>
      </c>
    </row>
    <row r="309" spans="1:10" x14ac:dyDescent="0.25">
      <c r="A309" t="s">
        <v>526</v>
      </c>
      <c r="B309" s="1">
        <v>45751</v>
      </c>
      <c r="C309" t="s">
        <v>462</v>
      </c>
      <c r="D309" t="s">
        <v>32</v>
      </c>
      <c r="E309" t="s">
        <v>28</v>
      </c>
      <c r="F309" t="s">
        <v>29</v>
      </c>
      <c r="G309">
        <v>2</v>
      </c>
      <c r="H309">
        <v>0.1</v>
      </c>
      <c r="I309">
        <v>900</v>
      </c>
      <c r="J309">
        <v>136.77000000000001</v>
      </c>
    </row>
    <row r="310" spans="1:10" x14ac:dyDescent="0.25">
      <c r="A310" t="s">
        <v>527</v>
      </c>
      <c r="B310" s="1">
        <v>45751</v>
      </c>
      <c r="C310" t="s">
        <v>528</v>
      </c>
      <c r="D310" t="s">
        <v>73</v>
      </c>
      <c r="E310" t="s">
        <v>74</v>
      </c>
      <c r="F310" t="s">
        <v>21</v>
      </c>
      <c r="G310">
        <v>1</v>
      </c>
      <c r="H310">
        <v>0.1</v>
      </c>
      <c r="I310">
        <v>7.2</v>
      </c>
      <c r="J310">
        <v>2.04</v>
      </c>
    </row>
    <row r="311" spans="1:10" x14ac:dyDescent="0.25">
      <c r="A311" t="s">
        <v>529</v>
      </c>
      <c r="B311" s="1">
        <v>45751</v>
      </c>
      <c r="C311" t="s">
        <v>411</v>
      </c>
      <c r="D311" t="s">
        <v>12</v>
      </c>
      <c r="E311" t="s">
        <v>13</v>
      </c>
      <c r="F311" t="s">
        <v>21</v>
      </c>
      <c r="G311">
        <v>5</v>
      </c>
      <c r="H311">
        <v>0</v>
      </c>
      <c r="I311">
        <v>275</v>
      </c>
      <c r="J311">
        <v>88.26</v>
      </c>
    </row>
    <row r="312" spans="1:10" x14ac:dyDescent="0.25">
      <c r="A312" t="s">
        <v>530</v>
      </c>
      <c r="B312" s="1">
        <v>45752</v>
      </c>
      <c r="C312" t="s">
        <v>531</v>
      </c>
      <c r="D312" t="s">
        <v>73</v>
      </c>
      <c r="E312" t="s">
        <v>74</v>
      </c>
      <c r="F312" t="s">
        <v>29</v>
      </c>
      <c r="G312">
        <v>4</v>
      </c>
      <c r="H312">
        <v>0.05</v>
      </c>
      <c r="I312">
        <v>30.4</v>
      </c>
      <c r="J312">
        <v>10</v>
      </c>
    </row>
    <row r="313" spans="1:10" x14ac:dyDescent="0.25">
      <c r="A313" t="s">
        <v>532</v>
      </c>
      <c r="B313" s="1">
        <v>45752</v>
      </c>
      <c r="C313" t="s">
        <v>455</v>
      </c>
      <c r="D313" t="s">
        <v>73</v>
      </c>
      <c r="E313" t="s">
        <v>74</v>
      </c>
      <c r="F313" t="s">
        <v>21</v>
      </c>
      <c r="G313">
        <v>3</v>
      </c>
      <c r="H313">
        <v>0</v>
      </c>
      <c r="I313">
        <v>24</v>
      </c>
      <c r="J313">
        <v>6.06</v>
      </c>
    </row>
    <row r="314" spans="1:10" x14ac:dyDescent="0.25">
      <c r="A314" t="s">
        <v>533</v>
      </c>
      <c r="B314" s="1">
        <v>45752</v>
      </c>
      <c r="C314" t="s">
        <v>534</v>
      </c>
      <c r="D314" t="s">
        <v>50</v>
      </c>
      <c r="E314" t="s">
        <v>28</v>
      </c>
      <c r="F314" t="s">
        <v>14</v>
      </c>
      <c r="G314">
        <v>2</v>
      </c>
      <c r="H314">
        <v>0</v>
      </c>
      <c r="I314">
        <v>480</v>
      </c>
      <c r="J314">
        <v>123.75</v>
      </c>
    </row>
    <row r="315" spans="1:10" x14ac:dyDescent="0.25">
      <c r="A315" t="s">
        <v>535</v>
      </c>
      <c r="B315" s="1">
        <v>45753</v>
      </c>
      <c r="C315" t="s">
        <v>536</v>
      </c>
      <c r="D315" t="s">
        <v>73</v>
      </c>
      <c r="E315" t="s">
        <v>74</v>
      </c>
      <c r="F315" t="s">
        <v>29</v>
      </c>
      <c r="G315">
        <v>1</v>
      </c>
      <c r="H315">
        <v>0</v>
      </c>
      <c r="I315">
        <v>8</v>
      </c>
      <c r="J315">
        <v>1.79</v>
      </c>
    </row>
    <row r="316" spans="1:10" x14ac:dyDescent="0.25">
      <c r="A316" t="s">
        <v>537</v>
      </c>
      <c r="B316" s="1">
        <v>45753</v>
      </c>
      <c r="C316" t="s">
        <v>189</v>
      </c>
      <c r="D316" t="s">
        <v>32</v>
      </c>
      <c r="E316" t="s">
        <v>28</v>
      </c>
      <c r="F316" t="s">
        <v>38</v>
      </c>
      <c r="G316">
        <v>4</v>
      </c>
      <c r="H316">
        <v>0.05</v>
      </c>
      <c r="I316">
        <v>1900</v>
      </c>
      <c r="J316">
        <v>392.98</v>
      </c>
    </row>
    <row r="317" spans="1:10" x14ac:dyDescent="0.25">
      <c r="A317" t="s">
        <v>538</v>
      </c>
      <c r="B317" s="1">
        <v>45753</v>
      </c>
      <c r="C317" t="s">
        <v>493</v>
      </c>
      <c r="D317" t="s">
        <v>19</v>
      </c>
      <c r="E317" t="s">
        <v>20</v>
      </c>
      <c r="F317" t="s">
        <v>14</v>
      </c>
      <c r="G317">
        <v>2</v>
      </c>
      <c r="H317">
        <v>0.05</v>
      </c>
      <c r="I317">
        <v>342</v>
      </c>
      <c r="J317">
        <v>76.56</v>
      </c>
    </row>
    <row r="318" spans="1:10" x14ac:dyDescent="0.25">
      <c r="A318" t="s">
        <v>539</v>
      </c>
      <c r="B318" s="1">
        <v>45753</v>
      </c>
      <c r="C318" t="s">
        <v>540</v>
      </c>
      <c r="D318" t="s">
        <v>32</v>
      </c>
      <c r="E318" t="s">
        <v>28</v>
      </c>
      <c r="F318" t="s">
        <v>29</v>
      </c>
      <c r="G318">
        <v>4</v>
      </c>
      <c r="H318">
        <v>0.15</v>
      </c>
      <c r="I318">
        <v>1700</v>
      </c>
      <c r="J318">
        <v>373.3</v>
      </c>
    </row>
    <row r="319" spans="1:10" x14ac:dyDescent="0.25">
      <c r="A319" t="s">
        <v>541</v>
      </c>
      <c r="B319" s="1">
        <v>45754</v>
      </c>
      <c r="C319" t="s">
        <v>283</v>
      </c>
      <c r="D319" t="s">
        <v>24</v>
      </c>
      <c r="E319" t="s">
        <v>20</v>
      </c>
      <c r="F319" t="s">
        <v>14</v>
      </c>
      <c r="G319">
        <v>3</v>
      </c>
      <c r="H319">
        <v>0.1</v>
      </c>
      <c r="I319">
        <v>594</v>
      </c>
      <c r="J319">
        <v>112.64</v>
      </c>
    </row>
    <row r="320" spans="1:10" x14ac:dyDescent="0.25">
      <c r="A320" t="s">
        <v>542</v>
      </c>
      <c r="B320" s="1">
        <v>45754</v>
      </c>
      <c r="C320" t="s">
        <v>543</v>
      </c>
      <c r="D320" t="s">
        <v>50</v>
      </c>
      <c r="E320" t="s">
        <v>28</v>
      </c>
      <c r="F320" t="s">
        <v>21</v>
      </c>
      <c r="G320">
        <v>1</v>
      </c>
      <c r="H320">
        <v>0.2</v>
      </c>
      <c r="I320">
        <v>192</v>
      </c>
      <c r="J320">
        <v>36.65</v>
      </c>
    </row>
    <row r="321" spans="1:10" x14ac:dyDescent="0.25">
      <c r="A321" t="s">
        <v>544</v>
      </c>
      <c r="B321" s="1">
        <v>45754</v>
      </c>
      <c r="C321" t="s">
        <v>411</v>
      </c>
      <c r="D321" t="s">
        <v>32</v>
      </c>
      <c r="E321" t="s">
        <v>28</v>
      </c>
      <c r="F321" t="s">
        <v>38</v>
      </c>
      <c r="G321">
        <v>2</v>
      </c>
      <c r="H321">
        <v>0.05</v>
      </c>
      <c r="I321">
        <v>950</v>
      </c>
      <c r="J321">
        <v>186.48</v>
      </c>
    </row>
    <row r="322" spans="1:10" x14ac:dyDescent="0.25">
      <c r="A322" t="s">
        <v>545</v>
      </c>
      <c r="B322" s="1">
        <v>45755</v>
      </c>
      <c r="C322" t="s">
        <v>457</v>
      </c>
      <c r="D322" t="s">
        <v>12</v>
      </c>
      <c r="E322" t="s">
        <v>13</v>
      </c>
      <c r="F322" t="s">
        <v>21</v>
      </c>
      <c r="G322">
        <v>4</v>
      </c>
      <c r="H322">
        <v>0.15</v>
      </c>
      <c r="I322">
        <v>187</v>
      </c>
      <c r="J322">
        <v>24.06</v>
      </c>
    </row>
    <row r="323" spans="1:10" x14ac:dyDescent="0.25">
      <c r="A323" t="s">
        <v>546</v>
      </c>
      <c r="B323" s="1">
        <v>45755</v>
      </c>
      <c r="C323" t="s">
        <v>547</v>
      </c>
      <c r="D323" t="s">
        <v>12</v>
      </c>
      <c r="E323" t="s">
        <v>13</v>
      </c>
      <c r="F323" t="s">
        <v>38</v>
      </c>
      <c r="G323">
        <v>5</v>
      </c>
      <c r="H323">
        <v>0</v>
      </c>
      <c r="I323">
        <v>275</v>
      </c>
      <c r="J323">
        <v>99.79</v>
      </c>
    </row>
    <row r="324" spans="1:10" x14ac:dyDescent="0.25">
      <c r="A324" t="s">
        <v>548</v>
      </c>
      <c r="B324" s="1">
        <v>45755</v>
      </c>
      <c r="C324" t="s">
        <v>549</v>
      </c>
      <c r="D324" t="s">
        <v>50</v>
      </c>
      <c r="E324" t="s">
        <v>28</v>
      </c>
      <c r="F324" t="s">
        <v>14</v>
      </c>
      <c r="G324">
        <v>1</v>
      </c>
      <c r="H324">
        <v>0</v>
      </c>
      <c r="I324">
        <v>240</v>
      </c>
      <c r="J324">
        <v>74.16</v>
      </c>
    </row>
    <row r="325" spans="1:10" x14ac:dyDescent="0.25">
      <c r="A325" t="s">
        <v>550</v>
      </c>
      <c r="B325" s="1">
        <v>45756</v>
      </c>
      <c r="C325" t="s">
        <v>119</v>
      </c>
      <c r="D325" t="s">
        <v>27</v>
      </c>
      <c r="E325" t="s">
        <v>28</v>
      </c>
      <c r="F325" t="s">
        <v>29</v>
      </c>
      <c r="G325">
        <v>4</v>
      </c>
      <c r="H325">
        <v>0</v>
      </c>
      <c r="I325">
        <v>2600</v>
      </c>
      <c r="J325">
        <v>571.80999999999995</v>
      </c>
    </row>
    <row r="326" spans="1:10" x14ac:dyDescent="0.25">
      <c r="A326" t="s">
        <v>551</v>
      </c>
      <c r="B326" s="1">
        <v>45756</v>
      </c>
      <c r="C326" t="s">
        <v>128</v>
      </c>
      <c r="D326" t="s">
        <v>24</v>
      </c>
      <c r="E326" t="s">
        <v>20</v>
      </c>
      <c r="F326" t="s">
        <v>38</v>
      </c>
      <c r="G326">
        <v>2</v>
      </c>
      <c r="H326">
        <v>0.1</v>
      </c>
      <c r="I326">
        <v>396</v>
      </c>
      <c r="J326">
        <v>102.89</v>
      </c>
    </row>
    <row r="327" spans="1:10" x14ac:dyDescent="0.25">
      <c r="A327" t="s">
        <v>552</v>
      </c>
      <c r="B327" s="1">
        <v>45756</v>
      </c>
      <c r="C327" t="s">
        <v>350</v>
      </c>
      <c r="D327" t="s">
        <v>81</v>
      </c>
      <c r="E327" t="s">
        <v>13</v>
      </c>
      <c r="F327" t="s">
        <v>38</v>
      </c>
      <c r="G327">
        <v>2</v>
      </c>
      <c r="H327">
        <v>0.2</v>
      </c>
      <c r="I327">
        <v>72</v>
      </c>
      <c r="J327">
        <v>4.29</v>
      </c>
    </row>
    <row r="328" spans="1:10" x14ac:dyDescent="0.25">
      <c r="A328" t="s">
        <v>553</v>
      </c>
      <c r="B328" s="1">
        <v>45756</v>
      </c>
      <c r="C328" t="s">
        <v>554</v>
      </c>
      <c r="D328" t="s">
        <v>37</v>
      </c>
      <c r="E328" t="s">
        <v>28</v>
      </c>
      <c r="F328" t="s">
        <v>14</v>
      </c>
      <c r="G328">
        <v>4</v>
      </c>
      <c r="H328">
        <v>0</v>
      </c>
      <c r="I328">
        <v>320</v>
      </c>
      <c r="J328">
        <v>85.61</v>
      </c>
    </row>
    <row r="329" spans="1:10" x14ac:dyDescent="0.25">
      <c r="A329" t="s">
        <v>555</v>
      </c>
      <c r="B329" s="1">
        <v>45757</v>
      </c>
      <c r="C329" t="s">
        <v>212</v>
      </c>
      <c r="D329" t="s">
        <v>50</v>
      </c>
      <c r="E329" t="s">
        <v>28</v>
      </c>
      <c r="F329" t="s">
        <v>14</v>
      </c>
      <c r="G329">
        <v>2</v>
      </c>
      <c r="H329">
        <v>0</v>
      </c>
      <c r="I329">
        <v>480</v>
      </c>
      <c r="J329">
        <v>139.16</v>
      </c>
    </row>
    <row r="330" spans="1:10" x14ac:dyDescent="0.25">
      <c r="A330" t="s">
        <v>556</v>
      </c>
      <c r="B330" s="1">
        <v>45757</v>
      </c>
      <c r="C330" t="s">
        <v>179</v>
      </c>
      <c r="D330" t="s">
        <v>91</v>
      </c>
      <c r="E330" t="s">
        <v>13</v>
      </c>
      <c r="F330" t="s">
        <v>29</v>
      </c>
      <c r="G330">
        <v>4</v>
      </c>
      <c r="H330">
        <v>0.05</v>
      </c>
      <c r="I330">
        <v>114</v>
      </c>
      <c r="J330">
        <v>30.42</v>
      </c>
    </row>
    <row r="331" spans="1:10" x14ac:dyDescent="0.25">
      <c r="A331" t="s">
        <v>557</v>
      </c>
      <c r="B331" s="1">
        <v>45757</v>
      </c>
      <c r="C331" t="s">
        <v>534</v>
      </c>
      <c r="D331" t="s">
        <v>32</v>
      </c>
      <c r="E331" t="s">
        <v>28</v>
      </c>
      <c r="F331" t="s">
        <v>21</v>
      </c>
      <c r="G331">
        <v>5</v>
      </c>
      <c r="H331">
        <v>0.1</v>
      </c>
      <c r="I331">
        <v>2250</v>
      </c>
      <c r="J331">
        <v>315.7</v>
      </c>
    </row>
    <row r="332" spans="1:10" x14ac:dyDescent="0.25">
      <c r="A332" t="s">
        <v>558</v>
      </c>
      <c r="B332" s="1">
        <v>45758</v>
      </c>
      <c r="C332" t="s">
        <v>54</v>
      </c>
      <c r="D332" t="s">
        <v>24</v>
      </c>
      <c r="E332" t="s">
        <v>20</v>
      </c>
      <c r="F332" t="s">
        <v>29</v>
      </c>
      <c r="G332">
        <v>4</v>
      </c>
      <c r="H332">
        <v>0.1</v>
      </c>
      <c r="I332">
        <v>792</v>
      </c>
      <c r="J332">
        <v>230.71</v>
      </c>
    </row>
    <row r="333" spans="1:10" x14ac:dyDescent="0.25">
      <c r="A333" t="s">
        <v>559</v>
      </c>
      <c r="B333" s="1">
        <v>45758</v>
      </c>
      <c r="C333" t="s">
        <v>268</v>
      </c>
      <c r="D333" t="s">
        <v>27</v>
      </c>
      <c r="E333" t="s">
        <v>28</v>
      </c>
      <c r="F333" t="s">
        <v>14</v>
      </c>
      <c r="G333">
        <v>5</v>
      </c>
      <c r="H333">
        <v>0.15</v>
      </c>
      <c r="I333">
        <v>2762.5</v>
      </c>
      <c r="J333">
        <v>239.18</v>
      </c>
    </row>
    <row r="334" spans="1:10" x14ac:dyDescent="0.25">
      <c r="A334" t="s">
        <v>560</v>
      </c>
      <c r="B334" s="1">
        <v>45758</v>
      </c>
      <c r="C334" t="s">
        <v>561</v>
      </c>
      <c r="D334" t="s">
        <v>19</v>
      </c>
      <c r="E334" t="s">
        <v>20</v>
      </c>
      <c r="F334" t="s">
        <v>38</v>
      </c>
      <c r="G334">
        <v>1</v>
      </c>
      <c r="H334">
        <v>0</v>
      </c>
      <c r="I334">
        <v>180</v>
      </c>
      <c r="J334">
        <v>56.1</v>
      </c>
    </row>
    <row r="335" spans="1:10" x14ac:dyDescent="0.25">
      <c r="A335" t="s">
        <v>562</v>
      </c>
      <c r="B335" s="1">
        <v>45759</v>
      </c>
      <c r="C335" t="s">
        <v>563</v>
      </c>
      <c r="D335" t="s">
        <v>50</v>
      </c>
      <c r="E335" t="s">
        <v>28</v>
      </c>
      <c r="F335" t="s">
        <v>38</v>
      </c>
      <c r="G335">
        <v>1</v>
      </c>
      <c r="H335">
        <v>0.1</v>
      </c>
      <c r="I335">
        <v>216</v>
      </c>
      <c r="J335">
        <v>27.59</v>
      </c>
    </row>
    <row r="336" spans="1:10" x14ac:dyDescent="0.25">
      <c r="A336" t="s">
        <v>564</v>
      </c>
      <c r="B336" s="1">
        <v>45759</v>
      </c>
      <c r="C336" t="s">
        <v>299</v>
      </c>
      <c r="D336" t="s">
        <v>73</v>
      </c>
      <c r="E336" t="s">
        <v>74</v>
      </c>
      <c r="F336" t="s">
        <v>21</v>
      </c>
      <c r="G336">
        <v>4</v>
      </c>
      <c r="H336">
        <v>0.15</v>
      </c>
      <c r="I336">
        <v>27.2</v>
      </c>
      <c r="J336">
        <v>6.32</v>
      </c>
    </row>
    <row r="337" spans="1:10" x14ac:dyDescent="0.25">
      <c r="A337" t="s">
        <v>565</v>
      </c>
      <c r="B337" s="1">
        <v>45759</v>
      </c>
      <c r="C337" t="s">
        <v>62</v>
      </c>
      <c r="D337" t="s">
        <v>24</v>
      </c>
      <c r="E337" t="s">
        <v>20</v>
      </c>
      <c r="F337" t="s">
        <v>21</v>
      </c>
      <c r="G337">
        <v>4</v>
      </c>
      <c r="H337">
        <v>0</v>
      </c>
      <c r="I337">
        <v>880</v>
      </c>
      <c r="J337">
        <v>170.62</v>
      </c>
    </row>
    <row r="338" spans="1:10" x14ac:dyDescent="0.25">
      <c r="A338" t="s">
        <v>566</v>
      </c>
      <c r="B338" s="1">
        <v>45760</v>
      </c>
      <c r="C338" t="s">
        <v>123</v>
      </c>
      <c r="D338" t="s">
        <v>37</v>
      </c>
      <c r="E338" t="s">
        <v>28</v>
      </c>
      <c r="F338" t="s">
        <v>21</v>
      </c>
      <c r="G338">
        <v>5</v>
      </c>
      <c r="H338">
        <v>0.05</v>
      </c>
      <c r="I338">
        <v>380</v>
      </c>
      <c r="J338">
        <v>61.76</v>
      </c>
    </row>
    <row r="339" spans="1:10" x14ac:dyDescent="0.25">
      <c r="A339" t="s">
        <v>567</v>
      </c>
      <c r="B339" s="1">
        <v>45760</v>
      </c>
      <c r="C339" t="s">
        <v>252</v>
      </c>
      <c r="D339" t="s">
        <v>81</v>
      </c>
      <c r="E339" t="s">
        <v>13</v>
      </c>
      <c r="F339" t="s">
        <v>38</v>
      </c>
      <c r="G339">
        <v>3</v>
      </c>
      <c r="H339">
        <v>0.15</v>
      </c>
      <c r="I339">
        <v>114.75</v>
      </c>
      <c r="J339">
        <v>22.82</v>
      </c>
    </row>
    <row r="340" spans="1:10" x14ac:dyDescent="0.25">
      <c r="A340" t="s">
        <v>568</v>
      </c>
      <c r="B340" s="1">
        <v>45760</v>
      </c>
      <c r="C340" t="s">
        <v>40</v>
      </c>
      <c r="D340" t="s">
        <v>24</v>
      </c>
      <c r="E340" t="s">
        <v>20</v>
      </c>
      <c r="F340" t="s">
        <v>29</v>
      </c>
      <c r="G340">
        <v>3</v>
      </c>
      <c r="H340">
        <v>0</v>
      </c>
      <c r="I340">
        <v>660</v>
      </c>
      <c r="J340">
        <v>159.07</v>
      </c>
    </row>
    <row r="341" spans="1:10" x14ac:dyDescent="0.25">
      <c r="A341" t="s">
        <v>569</v>
      </c>
      <c r="B341" s="1">
        <v>45760</v>
      </c>
      <c r="C341" t="s">
        <v>113</v>
      </c>
      <c r="D341" t="s">
        <v>37</v>
      </c>
      <c r="E341" t="s">
        <v>28</v>
      </c>
      <c r="F341" t="s">
        <v>29</v>
      </c>
      <c r="G341">
        <v>2</v>
      </c>
      <c r="H341">
        <v>0.15</v>
      </c>
      <c r="I341">
        <v>136</v>
      </c>
      <c r="J341">
        <v>32.56</v>
      </c>
    </row>
    <row r="342" spans="1:10" x14ac:dyDescent="0.25">
      <c r="A342" t="s">
        <v>570</v>
      </c>
      <c r="B342" s="1">
        <v>45761</v>
      </c>
      <c r="C342" t="s">
        <v>571</v>
      </c>
      <c r="D342" t="s">
        <v>27</v>
      </c>
      <c r="E342" t="s">
        <v>28</v>
      </c>
      <c r="F342" t="s">
        <v>14</v>
      </c>
      <c r="G342">
        <v>5</v>
      </c>
      <c r="H342">
        <v>0.05</v>
      </c>
      <c r="I342">
        <v>3087.5</v>
      </c>
      <c r="J342">
        <v>453.18</v>
      </c>
    </row>
    <row r="343" spans="1:10" x14ac:dyDescent="0.25">
      <c r="A343" t="s">
        <v>572</v>
      </c>
      <c r="B343" s="1">
        <v>45761</v>
      </c>
      <c r="C343" t="s">
        <v>571</v>
      </c>
      <c r="D343" t="s">
        <v>24</v>
      </c>
      <c r="E343" t="s">
        <v>20</v>
      </c>
      <c r="F343" t="s">
        <v>38</v>
      </c>
      <c r="G343">
        <v>2</v>
      </c>
      <c r="H343">
        <v>0</v>
      </c>
      <c r="I343">
        <v>440</v>
      </c>
      <c r="J343">
        <v>164.93</v>
      </c>
    </row>
    <row r="344" spans="1:10" x14ac:dyDescent="0.25">
      <c r="A344" t="s">
        <v>573</v>
      </c>
      <c r="B344" s="1">
        <v>45761</v>
      </c>
      <c r="C344" t="s">
        <v>177</v>
      </c>
      <c r="D344" t="s">
        <v>19</v>
      </c>
      <c r="E344" t="s">
        <v>20</v>
      </c>
      <c r="F344" t="s">
        <v>29</v>
      </c>
      <c r="G344">
        <v>5</v>
      </c>
      <c r="H344">
        <v>0.1</v>
      </c>
      <c r="I344">
        <v>810</v>
      </c>
      <c r="J344">
        <v>78.150000000000006</v>
      </c>
    </row>
    <row r="345" spans="1:10" x14ac:dyDescent="0.25">
      <c r="A345" t="s">
        <v>574</v>
      </c>
      <c r="B345" s="1">
        <v>45762</v>
      </c>
      <c r="C345" t="s">
        <v>575</v>
      </c>
      <c r="D345" t="s">
        <v>19</v>
      </c>
      <c r="E345" t="s">
        <v>20</v>
      </c>
      <c r="F345" t="s">
        <v>14</v>
      </c>
      <c r="G345">
        <v>2</v>
      </c>
      <c r="H345">
        <v>0.05</v>
      </c>
      <c r="I345">
        <v>342</v>
      </c>
      <c r="J345">
        <v>57.5</v>
      </c>
    </row>
    <row r="346" spans="1:10" x14ac:dyDescent="0.25">
      <c r="A346" t="s">
        <v>576</v>
      </c>
      <c r="B346" s="1">
        <v>45762</v>
      </c>
      <c r="C346" t="s">
        <v>60</v>
      </c>
      <c r="D346" t="s">
        <v>37</v>
      </c>
      <c r="E346" t="s">
        <v>28</v>
      </c>
      <c r="F346" t="s">
        <v>38</v>
      </c>
      <c r="G346">
        <v>4</v>
      </c>
      <c r="H346">
        <v>0.05</v>
      </c>
      <c r="I346">
        <v>304</v>
      </c>
      <c r="J346">
        <v>80.87</v>
      </c>
    </row>
    <row r="347" spans="1:10" x14ac:dyDescent="0.25">
      <c r="A347" t="s">
        <v>577</v>
      </c>
      <c r="B347" s="1">
        <v>45762</v>
      </c>
      <c r="C347" t="s">
        <v>578</v>
      </c>
      <c r="D347" t="s">
        <v>37</v>
      </c>
      <c r="E347" t="s">
        <v>28</v>
      </c>
      <c r="F347" t="s">
        <v>14</v>
      </c>
      <c r="G347">
        <v>2</v>
      </c>
      <c r="H347">
        <v>0</v>
      </c>
      <c r="I347">
        <v>160</v>
      </c>
      <c r="J347">
        <v>45.29</v>
      </c>
    </row>
    <row r="348" spans="1:10" x14ac:dyDescent="0.25">
      <c r="A348" t="s">
        <v>579</v>
      </c>
      <c r="B348" s="1">
        <v>45763</v>
      </c>
      <c r="C348" t="s">
        <v>206</v>
      </c>
      <c r="D348" t="s">
        <v>91</v>
      </c>
      <c r="E348" t="s">
        <v>13</v>
      </c>
      <c r="F348" t="s">
        <v>14</v>
      </c>
      <c r="G348">
        <v>1</v>
      </c>
      <c r="H348">
        <v>0.05</v>
      </c>
      <c r="I348">
        <v>28.5</v>
      </c>
      <c r="J348">
        <v>8.8800000000000008</v>
      </c>
    </row>
    <row r="349" spans="1:10" x14ac:dyDescent="0.25">
      <c r="A349" t="s">
        <v>580</v>
      </c>
      <c r="B349" s="1">
        <v>45763</v>
      </c>
      <c r="C349" t="s">
        <v>273</v>
      </c>
      <c r="D349" t="s">
        <v>32</v>
      </c>
      <c r="E349" t="s">
        <v>28</v>
      </c>
      <c r="F349" t="s">
        <v>14</v>
      </c>
      <c r="G349">
        <v>4</v>
      </c>
      <c r="H349">
        <v>0.1</v>
      </c>
      <c r="I349">
        <v>1800</v>
      </c>
      <c r="J349">
        <v>306.72000000000003</v>
      </c>
    </row>
    <row r="350" spans="1:10" x14ac:dyDescent="0.25">
      <c r="A350" t="s">
        <v>581</v>
      </c>
      <c r="B350" s="1">
        <v>45763</v>
      </c>
      <c r="C350" t="s">
        <v>419</v>
      </c>
      <c r="D350" t="s">
        <v>24</v>
      </c>
      <c r="E350" t="s">
        <v>20</v>
      </c>
      <c r="F350" t="s">
        <v>21</v>
      </c>
      <c r="G350">
        <v>4</v>
      </c>
      <c r="H350">
        <v>0.05</v>
      </c>
      <c r="I350">
        <v>836</v>
      </c>
      <c r="J350">
        <v>180.59</v>
      </c>
    </row>
    <row r="351" spans="1:10" x14ac:dyDescent="0.25">
      <c r="A351" t="s">
        <v>582</v>
      </c>
      <c r="B351" s="1">
        <v>45763</v>
      </c>
      <c r="C351" t="s">
        <v>295</v>
      </c>
      <c r="D351" t="s">
        <v>12</v>
      </c>
      <c r="E351" t="s">
        <v>13</v>
      </c>
      <c r="F351" t="s">
        <v>29</v>
      </c>
      <c r="G351">
        <v>2</v>
      </c>
      <c r="H351">
        <v>0</v>
      </c>
      <c r="I351">
        <v>110</v>
      </c>
      <c r="J351">
        <v>22.29</v>
      </c>
    </row>
    <row r="352" spans="1:10" x14ac:dyDescent="0.25">
      <c r="A352" t="s">
        <v>583</v>
      </c>
      <c r="B352" s="1">
        <v>45764</v>
      </c>
      <c r="C352" t="s">
        <v>375</v>
      </c>
      <c r="D352" t="s">
        <v>32</v>
      </c>
      <c r="E352" t="s">
        <v>28</v>
      </c>
      <c r="F352" t="s">
        <v>14</v>
      </c>
      <c r="G352">
        <v>3</v>
      </c>
      <c r="H352">
        <v>0.05</v>
      </c>
      <c r="I352">
        <v>1425</v>
      </c>
      <c r="J352">
        <v>246.74</v>
      </c>
    </row>
    <row r="353" spans="1:10" x14ac:dyDescent="0.25">
      <c r="A353" t="s">
        <v>584</v>
      </c>
      <c r="B353" s="1">
        <v>45764</v>
      </c>
      <c r="C353" t="s">
        <v>360</v>
      </c>
      <c r="D353" t="s">
        <v>81</v>
      </c>
      <c r="E353" t="s">
        <v>13</v>
      </c>
      <c r="F353" t="s">
        <v>14</v>
      </c>
      <c r="G353">
        <v>5</v>
      </c>
      <c r="H353">
        <v>0</v>
      </c>
      <c r="I353">
        <v>225</v>
      </c>
      <c r="J353">
        <v>66.77</v>
      </c>
    </row>
    <row r="354" spans="1:10" x14ac:dyDescent="0.25">
      <c r="A354" t="s">
        <v>585</v>
      </c>
      <c r="B354" s="1">
        <v>45764</v>
      </c>
      <c r="C354" t="s">
        <v>398</v>
      </c>
      <c r="D354" t="s">
        <v>81</v>
      </c>
      <c r="E354" t="s">
        <v>13</v>
      </c>
      <c r="F354" t="s">
        <v>14</v>
      </c>
      <c r="G354">
        <v>5</v>
      </c>
      <c r="H354">
        <v>0.15</v>
      </c>
      <c r="I354">
        <v>191.25</v>
      </c>
      <c r="J354">
        <v>45.58</v>
      </c>
    </row>
    <row r="355" spans="1:10" x14ac:dyDescent="0.25">
      <c r="A355" t="s">
        <v>586</v>
      </c>
      <c r="B355" s="1">
        <v>45765</v>
      </c>
      <c r="C355" t="s">
        <v>362</v>
      </c>
      <c r="D355" t="s">
        <v>24</v>
      </c>
      <c r="E355" t="s">
        <v>20</v>
      </c>
      <c r="F355" t="s">
        <v>29</v>
      </c>
      <c r="G355">
        <v>2</v>
      </c>
      <c r="H355">
        <v>0</v>
      </c>
      <c r="I355">
        <v>440</v>
      </c>
      <c r="J355">
        <v>81.319999999999993</v>
      </c>
    </row>
    <row r="356" spans="1:10" x14ac:dyDescent="0.25">
      <c r="A356" t="s">
        <v>587</v>
      </c>
      <c r="B356" s="1">
        <v>45765</v>
      </c>
      <c r="C356" t="s">
        <v>588</v>
      </c>
      <c r="D356" t="s">
        <v>19</v>
      </c>
      <c r="E356" t="s">
        <v>20</v>
      </c>
      <c r="F356" t="s">
        <v>14</v>
      </c>
      <c r="G356">
        <v>1</v>
      </c>
      <c r="H356">
        <v>0</v>
      </c>
      <c r="I356">
        <v>180</v>
      </c>
      <c r="J356">
        <v>48.67</v>
      </c>
    </row>
    <row r="357" spans="1:10" x14ac:dyDescent="0.25">
      <c r="A357" t="s">
        <v>589</v>
      </c>
      <c r="B357" s="1">
        <v>45765</v>
      </c>
      <c r="C357" t="s">
        <v>80</v>
      </c>
      <c r="D357" t="s">
        <v>19</v>
      </c>
      <c r="E357" t="s">
        <v>20</v>
      </c>
      <c r="F357" t="s">
        <v>29</v>
      </c>
      <c r="G357">
        <v>5</v>
      </c>
      <c r="H357">
        <v>0.05</v>
      </c>
      <c r="I357">
        <v>855</v>
      </c>
      <c r="J357">
        <v>269.99</v>
      </c>
    </row>
    <row r="358" spans="1:10" x14ac:dyDescent="0.25">
      <c r="A358" t="s">
        <v>590</v>
      </c>
      <c r="B358" s="1">
        <v>45766</v>
      </c>
      <c r="C358" t="s">
        <v>62</v>
      </c>
      <c r="D358" t="s">
        <v>37</v>
      </c>
      <c r="E358" t="s">
        <v>28</v>
      </c>
      <c r="F358" t="s">
        <v>14</v>
      </c>
      <c r="G358">
        <v>3</v>
      </c>
      <c r="H358">
        <v>0.05</v>
      </c>
      <c r="I358">
        <v>228</v>
      </c>
      <c r="J358">
        <v>60.27</v>
      </c>
    </row>
    <row r="359" spans="1:10" x14ac:dyDescent="0.25">
      <c r="A359" t="s">
        <v>591</v>
      </c>
      <c r="B359" s="1">
        <v>45766</v>
      </c>
      <c r="C359" t="s">
        <v>437</v>
      </c>
      <c r="D359" t="s">
        <v>73</v>
      </c>
      <c r="E359" t="s">
        <v>74</v>
      </c>
      <c r="F359" t="s">
        <v>14</v>
      </c>
      <c r="G359">
        <v>5</v>
      </c>
      <c r="H359">
        <v>0</v>
      </c>
      <c r="I359">
        <v>40</v>
      </c>
      <c r="J359">
        <v>14.38</v>
      </c>
    </row>
    <row r="360" spans="1:10" x14ac:dyDescent="0.25">
      <c r="A360" t="s">
        <v>592</v>
      </c>
      <c r="B360" s="1">
        <v>45766</v>
      </c>
      <c r="C360" t="s">
        <v>339</v>
      </c>
      <c r="D360" t="s">
        <v>50</v>
      </c>
      <c r="E360" t="s">
        <v>28</v>
      </c>
      <c r="F360" t="s">
        <v>21</v>
      </c>
      <c r="G360">
        <v>1</v>
      </c>
      <c r="H360">
        <v>0.15</v>
      </c>
      <c r="I360">
        <v>204</v>
      </c>
      <c r="J360">
        <v>51.53</v>
      </c>
    </row>
    <row r="361" spans="1:10" x14ac:dyDescent="0.25">
      <c r="A361" t="s">
        <v>593</v>
      </c>
      <c r="B361" s="1">
        <v>45766</v>
      </c>
      <c r="C361" t="s">
        <v>594</v>
      </c>
      <c r="D361" t="s">
        <v>37</v>
      </c>
      <c r="E361" t="s">
        <v>28</v>
      </c>
      <c r="F361" t="s">
        <v>38</v>
      </c>
      <c r="G361">
        <v>2</v>
      </c>
      <c r="H361">
        <v>0.05</v>
      </c>
      <c r="I361">
        <v>152</v>
      </c>
      <c r="J361">
        <v>27.8</v>
      </c>
    </row>
    <row r="362" spans="1:10" x14ac:dyDescent="0.25">
      <c r="A362" t="s">
        <v>595</v>
      </c>
      <c r="B362" s="1">
        <v>45767</v>
      </c>
      <c r="C362" t="s">
        <v>596</v>
      </c>
      <c r="D362" t="s">
        <v>12</v>
      </c>
      <c r="E362" t="s">
        <v>13</v>
      </c>
      <c r="F362" t="s">
        <v>14</v>
      </c>
      <c r="G362">
        <v>2</v>
      </c>
      <c r="H362">
        <v>0.05</v>
      </c>
      <c r="I362">
        <v>104.5</v>
      </c>
      <c r="J362">
        <v>26.4</v>
      </c>
    </row>
    <row r="363" spans="1:10" x14ac:dyDescent="0.25">
      <c r="A363" t="s">
        <v>597</v>
      </c>
      <c r="B363" s="1">
        <v>45767</v>
      </c>
      <c r="C363" t="s">
        <v>336</v>
      </c>
      <c r="D363" t="s">
        <v>12</v>
      </c>
      <c r="E363" t="s">
        <v>13</v>
      </c>
      <c r="F363" t="s">
        <v>14</v>
      </c>
      <c r="G363">
        <v>5</v>
      </c>
      <c r="H363">
        <v>0</v>
      </c>
      <c r="I363">
        <v>275</v>
      </c>
      <c r="J363">
        <v>63.94</v>
      </c>
    </row>
    <row r="364" spans="1:10" x14ac:dyDescent="0.25">
      <c r="A364" t="s">
        <v>598</v>
      </c>
      <c r="B364" s="1">
        <v>45767</v>
      </c>
      <c r="C364" t="s">
        <v>599</v>
      </c>
      <c r="D364" t="s">
        <v>91</v>
      </c>
      <c r="E364" t="s">
        <v>13</v>
      </c>
      <c r="F364" t="s">
        <v>38</v>
      </c>
      <c r="G364">
        <v>5</v>
      </c>
      <c r="H364">
        <v>0</v>
      </c>
      <c r="I364">
        <v>150</v>
      </c>
      <c r="J364">
        <v>34.61</v>
      </c>
    </row>
    <row r="365" spans="1:10" x14ac:dyDescent="0.25">
      <c r="A365" t="s">
        <v>600</v>
      </c>
      <c r="B365" s="1">
        <v>45768</v>
      </c>
      <c r="C365" t="s">
        <v>455</v>
      </c>
      <c r="D365" t="s">
        <v>91</v>
      </c>
      <c r="E365" t="s">
        <v>13</v>
      </c>
      <c r="F365" t="s">
        <v>29</v>
      </c>
      <c r="G365">
        <v>3</v>
      </c>
      <c r="H365">
        <v>0</v>
      </c>
      <c r="I365">
        <v>90</v>
      </c>
      <c r="J365">
        <v>16.98</v>
      </c>
    </row>
    <row r="366" spans="1:10" x14ac:dyDescent="0.25">
      <c r="A366" t="s">
        <v>601</v>
      </c>
      <c r="B366" s="1">
        <v>45768</v>
      </c>
      <c r="C366" t="s">
        <v>216</v>
      </c>
      <c r="D366" t="s">
        <v>73</v>
      </c>
      <c r="E366" t="s">
        <v>74</v>
      </c>
      <c r="F366" t="s">
        <v>38</v>
      </c>
      <c r="G366">
        <v>4</v>
      </c>
      <c r="H366">
        <v>0.05</v>
      </c>
      <c r="I366">
        <v>30.4</v>
      </c>
      <c r="J366">
        <v>5.6</v>
      </c>
    </row>
    <row r="367" spans="1:10" x14ac:dyDescent="0.25">
      <c r="A367" t="s">
        <v>602</v>
      </c>
      <c r="B367" s="1">
        <v>45768</v>
      </c>
      <c r="C367" t="s">
        <v>246</v>
      </c>
      <c r="D367" t="s">
        <v>73</v>
      </c>
      <c r="E367" t="s">
        <v>74</v>
      </c>
      <c r="F367" t="s">
        <v>29</v>
      </c>
      <c r="G367">
        <v>5</v>
      </c>
      <c r="H367">
        <v>0.1</v>
      </c>
      <c r="I367">
        <v>36</v>
      </c>
      <c r="J367">
        <v>4.5599999999999996</v>
      </c>
    </row>
    <row r="368" spans="1:10" x14ac:dyDescent="0.25">
      <c r="A368" t="s">
        <v>603</v>
      </c>
      <c r="B368" s="1">
        <v>45769</v>
      </c>
      <c r="C368" t="s">
        <v>604</v>
      </c>
      <c r="D368" t="s">
        <v>73</v>
      </c>
      <c r="E368" t="s">
        <v>74</v>
      </c>
      <c r="F368" t="s">
        <v>29</v>
      </c>
      <c r="G368">
        <v>4</v>
      </c>
      <c r="H368">
        <v>0.15</v>
      </c>
      <c r="I368">
        <v>27.2</v>
      </c>
      <c r="J368">
        <v>2.35</v>
      </c>
    </row>
    <row r="369" spans="1:10" x14ac:dyDescent="0.25">
      <c r="A369" t="s">
        <v>605</v>
      </c>
      <c r="B369" s="1">
        <v>45769</v>
      </c>
      <c r="C369" t="s">
        <v>563</v>
      </c>
      <c r="D369" t="s">
        <v>19</v>
      </c>
      <c r="E369" t="s">
        <v>20</v>
      </c>
      <c r="F369" t="s">
        <v>38</v>
      </c>
      <c r="G369">
        <v>1</v>
      </c>
      <c r="H369">
        <v>0.1</v>
      </c>
      <c r="I369">
        <v>162</v>
      </c>
      <c r="J369">
        <v>31.31</v>
      </c>
    </row>
    <row r="370" spans="1:10" x14ac:dyDescent="0.25">
      <c r="A370" t="s">
        <v>606</v>
      </c>
      <c r="B370" s="1">
        <v>45769</v>
      </c>
      <c r="C370" t="s">
        <v>561</v>
      </c>
      <c r="D370" t="s">
        <v>37</v>
      </c>
      <c r="E370" t="s">
        <v>28</v>
      </c>
      <c r="F370" t="s">
        <v>21</v>
      </c>
      <c r="G370">
        <v>2</v>
      </c>
      <c r="H370">
        <v>0.15</v>
      </c>
      <c r="I370">
        <v>136</v>
      </c>
      <c r="J370">
        <v>27.43</v>
      </c>
    </row>
    <row r="371" spans="1:10" x14ac:dyDescent="0.25">
      <c r="A371" t="s">
        <v>607</v>
      </c>
      <c r="B371" s="1">
        <v>45770</v>
      </c>
      <c r="C371" t="s">
        <v>263</v>
      </c>
      <c r="D371" t="s">
        <v>24</v>
      </c>
      <c r="E371" t="s">
        <v>20</v>
      </c>
      <c r="F371" t="s">
        <v>29</v>
      </c>
      <c r="G371">
        <v>4</v>
      </c>
      <c r="H371">
        <v>0</v>
      </c>
      <c r="I371">
        <v>880</v>
      </c>
      <c r="J371">
        <v>326.7</v>
      </c>
    </row>
    <row r="372" spans="1:10" x14ac:dyDescent="0.25">
      <c r="A372" t="s">
        <v>608</v>
      </c>
      <c r="B372" s="1">
        <v>45770</v>
      </c>
      <c r="C372" t="s">
        <v>419</v>
      </c>
      <c r="D372" t="s">
        <v>37</v>
      </c>
      <c r="E372" t="s">
        <v>28</v>
      </c>
      <c r="F372" t="s">
        <v>21</v>
      </c>
      <c r="G372">
        <v>1</v>
      </c>
      <c r="H372">
        <v>0.05</v>
      </c>
      <c r="I372">
        <v>76</v>
      </c>
      <c r="J372">
        <v>19.489999999999998</v>
      </c>
    </row>
    <row r="373" spans="1:10" x14ac:dyDescent="0.25">
      <c r="A373" t="s">
        <v>609</v>
      </c>
      <c r="B373" s="1">
        <v>45770</v>
      </c>
      <c r="C373" t="s">
        <v>610</v>
      </c>
      <c r="D373" t="s">
        <v>50</v>
      </c>
      <c r="E373" t="s">
        <v>28</v>
      </c>
      <c r="F373" t="s">
        <v>29</v>
      </c>
      <c r="G373">
        <v>2</v>
      </c>
      <c r="H373">
        <v>0.2</v>
      </c>
      <c r="I373">
        <v>384</v>
      </c>
      <c r="J373">
        <v>63.29</v>
      </c>
    </row>
    <row r="374" spans="1:10" x14ac:dyDescent="0.25">
      <c r="A374" t="s">
        <v>611</v>
      </c>
      <c r="B374" s="1">
        <v>45770</v>
      </c>
      <c r="C374" t="s">
        <v>612</v>
      </c>
      <c r="D374" t="s">
        <v>32</v>
      </c>
      <c r="E374" t="s">
        <v>28</v>
      </c>
      <c r="F374" t="s">
        <v>21</v>
      </c>
      <c r="G374">
        <v>1</v>
      </c>
      <c r="H374">
        <v>0.1</v>
      </c>
      <c r="I374">
        <v>450</v>
      </c>
      <c r="J374">
        <v>111.41</v>
      </c>
    </row>
    <row r="375" spans="1:10" x14ac:dyDescent="0.25">
      <c r="A375" t="s">
        <v>613</v>
      </c>
      <c r="B375" s="1">
        <v>45771</v>
      </c>
      <c r="C375" t="s">
        <v>206</v>
      </c>
      <c r="D375" t="s">
        <v>12</v>
      </c>
      <c r="E375" t="s">
        <v>13</v>
      </c>
      <c r="F375" t="s">
        <v>14</v>
      </c>
      <c r="G375">
        <v>1</v>
      </c>
      <c r="H375">
        <v>0.05</v>
      </c>
      <c r="I375">
        <v>52.25</v>
      </c>
      <c r="J375">
        <v>12.17</v>
      </c>
    </row>
    <row r="376" spans="1:10" x14ac:dyDescent="0.25">
      <c r="A376" t="s">
        <v>614</v>
      </c>
      <c r="B376" s="1">
        <v>45771</v>
      </c>
      <c r="C376" t="s">
        <v>540</v>
      </c>
      <c r="D376" t="s">
        <v>24</v>
      </c>
      <c r="E376" t="s">
        <v>20</v>
      </c>
      <c r="F376" t="s">
        <v>38</v>
      </c>
      <c r="G376">
        <v>4</v>
      </c>
      <c r="H376">
        <v>0</v>
      </c>
      <c r="I376">
        <v>880</v>
      </c>
      <c r="J376">
        <v>278.07</v>
      </c>
    </row>
    <row r="377" spans="1:10" x14ac:dyDescent="0.25">
      <c r="A377" t="s">
        <v>615</v>
      </c>
      <c r="B377" s="1">
        <v>45771</v>
      </c>
      <c r="C377" t="s">
        <v>616</v>
      </c>
      <c r="D377" t="s">
        <v>50</v>
      </c>
      <c r="E377" t="s">
        <v>28</v>
      </c>
      <c r="F377" t="s">
        <v>14</v>
      </c>
      <c r="G377">
        <v>4</v>
      </c>
      <c r="H377">
        <v>0</v>
      </c>
      <c r="I377">
        <v>960</v>
      </c>
      <c r="J377">
        <v>333.16</v>
      </c>
    </row>
    <row r="378" spans="1:10" x14ac:dyDescent="0.25">
      <c r="A378" t="s">
        <v>617</v>
      </c>
      <c r="B378" s="1">
        <v>45772</v>
      </c>
      <c r="C378" t="s">
        <v>16</v>
      </c>
      <c r="D378" t="s">
        <v>19</v>
      </c>
      <c r="E378" t="s">
        <v>20</v>
      </c>
      <c r="F378" t="s">
        <v>29</v>
      </c>
      <c r="G378">
        <v>3</v>
      </c>
      <c r="H378">
        <v>0.2</v>
      </c>
      <c r="I378">
        <v>432</v>
      </c>
      <c r="J378">
        <v>44.45</v>
      </c>
    </row>
    <row r="379" spans="1:10" x14ac:dyDescent="0.25">
      <c r="A379" t="s">
        <v>618</v>
      </c>
      <c r="B379" s="1">
        <v>45772</v>
      </c>
      <c r="C379" t="s">
        <v>619</v>
      </c>
      <c r="D379" t="s">
        <v>81</v>
      </c>
      <c r="E379" t="s">
        <v>13</v>
      </c>
      <c r="F379" t="s">
        <v>38</v>
      </c>
      <c r="G379">
        <v>3</v>
      </c>
      <c r="H379">
        <v>0.15</v>
      </c>
      <c r="I379">
        <v>114.75</v>
      </c>
      <c r="J379">
        <v>10.98</v>
      </c>
    </row>
    <row r="380" spans="1:10" x14ac:dyDescent="0.25">
      <c r="A380" t="s">
        <v>620</v>
      </c>
      <c r="B380" s="1">
        <v>45772</v>
      </c>
      <c r="C380" t="s">
        <v>528</v>
      </c>
      <c r="D380" t="s">
        <v>81</v>
      </c>
      <c r="E380" t="s">
        <v>13</v>
      </c>
      <c r="F380" t="s">
        <v>38</v>
      </c>
      <c r="G380">
        <v>3</v>
      </c>
      <c r="H380">
        <v>0</v>
      </c>
      <c r="I380">
        <v>135</v>
      </c>
      <c r="J380">
        <v>48.77</v>
      </c>
    </row>
    <row r="381" spans="1:10" x14ac:dyDescent="0.25">
      <c r="A381" t="s">
        <v>621</v>
      </c>
      <c r="B381" s="1">
        <v>45773</v>
      </c>
      <c r="C381" t="s">
        <v>184</v>
      </c>
      <c r="D381" t="s">
        <v>50</v>
      </c>
      <c r="E381" t="s">
        <v>28</v>
      </c>
      <c r="F381" t="s">
        <v>29</v>
      </c>
      <c r="G381">
        <v>5</v>
      </c>
      <c r="H381">
        <v>0</v>
      </c>
      <c r="I381">
        <v>1200</v>
      </c>
      <c r="J381">
        <v>345.23</v>
      </c>
    </row>
    <row r="382" spans="1:10" x14ac:dyDescent="0.25">
      <c r="A382" t="s">
        <v>622</v>
      </c>
      <c r="B382" s="1">
        <v>45773</v>
      </c>
      <c r="C382" t="s">
        <v>109</v>
      </c>
      <c r="D382" t="s">
        <v>27</v>
      </c>
      <c r="E382" t="s">
        <v>28</v>
      </c>
      <c r="F382" t="s">
        <v>38</v>
      </c>
      <c r="G382">
        <v>4</v>
      </c>
      <c r="H382">
        <v>0.1</v>
      </c>
      <c r="I382">
        <v>2340</v>
      </c>
      <c r="J382">
        <v>212.26</v>
      </c>
    </row>
    <row r="383" spans="1:10" x14ac:dyDescent="0.25">
      <c r="A383" t="s">
        <v>623</v>
      </c>
      <c r="B383" s="1">
        <v>45773</v>
      </c>
      <c r="C383" t="s">
        <v>54</v>
      </c>
      <c r="D383" t="s">
        <v>73</v>
      </c>
      <c r="E383" t="s">
        <v>74</v>
      </c>
      <c r="F383" t="s">
        <v>38</v>
      </c>
      <c r="G383">
        <v>2</v>
      </c>
      <c r="H383">
        <v>0</v>
      </c>
      <c r="I383">
        <v>16</v>
      </c>
      <c r="J383">
        <v>4.3</v>
      </c>
    </row>
    <row r="384" spans="1:10" x14ac:dyDescent="0.25">
      <c r="A384" t="s">
        <v>624</v>
      </c>
      <c r="B384" s="1">
        <v>45773</v>
      </c>
      <c r="C384" t="s">
        <v>504</v>
      </c>
      <c r="D384" t="s">
        <v>37</v>
      </c>
      <c r="E384" t="s">
        <v>28</v>
      </c>
      <c r="F384" t="s">
        <v>21</v>
      </c>
      <c r="G384">
        <v>1</v>
      </c>
      <c r="H384">
        <v>0.05</v>
      </c>
      <c r="I384">
        <v>76</v>
      </c>
      <c r="J384">
        <v>17.78</v>
      </c>
    </row>
    <row r="385" spans="1:10" x14ac:dyDescent="0.25">
      <c r="A385" t="s">
        <v>625</v>
      </c>
      <c r="B385" s="1">
        <v>45774</v>
      </c>
      <c r="C385" t="s">
        <v>210</v>
      </c>
      <c r="D385" t="s">
        <v>73</v>
      </c>
      <c r="E385" t="s">
        <v>74</v>
      </c>
      <c r="F385" t="s">
        <v>14</v>
      </c>
      <c r="G385">
        <v>2</v>
      </c>
      <c r="H385">
        <v>0</v>
      </c>
      <c r="I385">
        <v>16</v>
      </c>
      <c r="J385">
        <v>3.69</v>
      </c>
    </row>
    <row r="386" spans="1:10" x14ac:dyDescent="0.25">
      <c r="A386" t="s">
        <v>626</v>
      </c>
      <c r="B386" s="1">
        <v>45774</v>
      </c>
      <c r="C386" t="s">
        <v>627</v>
      </c>
      <c r="D386" t="s">
        <v>37</v>
      </c>
      <c r="E386" t="s">
        <v>28</v>
      </c>
      <c r="F386" t="s">
        <v>38</v>
      </c>
      <c r="G386">
        <v>5</v>
      </c>
      <c r="H386">
        <v>0.05</v>
      </c>
      <c r="I386">
        <v>380</v>
      </c>
      <c r="J386">
        <v>105.85</v>
      </c>
    </row>
    <row r="387" spans="1:10" x14ac:dyDescent="0.25">
      <c r="A387" t="s">
        <v>628</v>
      </c>
      <c r="B387" s="1">
        <v>45774</v>
      </c>
      <c r="C387" t="s">
        <v>512</v>
      </c>
      <c r="D387" t="s">
        <v>12</v>
      </c>
      <c r="E387" t="s">
        <v>13</v>
      </c>
      <c r="F387" t="s">
        <v>29</v>
      </c>
      <c r="G387">
        <v>3</v>
      </c>
      <c r="H387">
        <v>0.2</v>
      </c>
      <c r="I387">
        <v>132</v>
      </c>
      <c r="J387">
        <v>17.55</v>
      </c>
    </row>
    <row r="388" spans="1:10" x14ac:dyDescent="0.25">
      <c r="A388" t="s">
        <v>629</v>
      </c>
      <c r="B388" s="1">
        <v>45775</v>
      </c>
      <c r="C388" t="s">
        <v>198</v>
      </c>
      <c r="D388" t="s">
        <v>73</v>
      </c>
      <c r="E388" t="s">
        <v>74</v>
      </c>
      <c r="F388" t="s">
        <v>21</v>
      </c>
      <c r="G388">
        <v>3</v>
      </c>
      <c r="H388">
        <v>0</v>
      </c>
      <c r="I388">
        <v>24</v>
      </c>
      <c r="J388">
        <v>5.94</v>
      </c>
    </row>
    <row r="389" spans="1:10" x14ac:dyDescent="0.25">
      <c r="A389" t="s">
        <v>630</v>
      </c>
      <c r="B389" s="1">
        <v>45775</v>
      </c>
      <c r="C389" t="s">
        <v>631</v>
      </c>
      <c r="D389" t="s">
        <v>19</v>
      </c>
      <c r="E389" t="s">
        <v>20</v>
      </c>
      <c r="F389" t="s">
        <v>38</v>
      </c>
      <c r="G389">
        <v>4</v>
      </c>
      <c r="H389">
        <v>0.15</v>
      </c>
      <c r="I389">
        <v>612</v>
      </c>
      <c r="J389">
        <v>152.21</v>
      </c>
    </row>
    <row r="390" spans="1:10" x14ac:dyDescent="0.25">
      <c r="A390" t="s">
        <v>632</v>
      </c>
      <c r="B390" s="1">
        <v>45775</v>
      </c>
      <c r="C390" t="s">
        <v>633</v>
      </c>
      <c r="D390" t="s">
        <v>19</v>
      </c>
      <c r="E390" t="s">
        <v>20</v>
      </c>
      <c r="F390" t="s">
        <v>38</v>
      </c>
      <c r="G390">
        <v>5</v>
      </c>
      <c r="H390">
        <v>0.1</v>
      </c>
      <c r="I390">
        <v>810</v>
      </c>
      <c r="J390">
        <v>240.33</v>
      </c>
    </row>
    <row r="391" spans="1:10" x14ac:dyDescent="0.25">
      <c r="A391" t="s">
        <v>634</v>
      </c>
      <c r="B391" s="1">
        <v>45776</v>
      </c>
      <c r="C391" t="s">
        <v>123</v>
      </c>
      <c r="D391" t="s">
        <v>19</v>
      </c>
      <c r="E391" t="s">
        <v>20</v>
      </c>
      <c r="F391" t="s">
        <v>21</v>
      </c>
      <c r="G391">
        <v>4</v>
      </c>
      <c r="H391">
        <v>0</v>
      </c>
      <c r="I391">
        <v>720</v>
      </c>
      <c r="J391">
        <v>203.53</v>
      </c>
    </row>
    <row r="392" spans="1:10" x14ac:dyDescent="0.25">
      <c r="A392" t="s">
        <v>635</v>
      </c>
      <c r="B392" s="1">
        <v>45776</v>
      </c>
      <c r="C392" t="s">
        <v>329</v>
      </c>
      <c r="D392" t="s">
        <v>32</v>
      </c>
      <c r="E392" t="s">
        <v>28</v>
      </c>
      <c r="F392" t="s">
        <v>21</v>
      </c>
      <c r="G392">
        <v>4</v>
      </c>
      <c r="H392">
        <v>0.15</v>
      </c>
      <c r="I392">
        <v>1700</v>
      </c>
      <c r="J392">
        <v>260.7</v>
      </c>
    </row>
    <row r="393" spans="1:10" x14ac:dyDescent="0.25">
      <c r="A393" t="s">
        <v>636</v>
      </c>
      <c r="B393" s="1">
        <v>45776</v>
      </c>
      <c r="C393" t="s">
        <v>204</v>
      </c>
      <c r="D393" t="s">
        <v>91</v>
      </c>
      <c r="E393" t="s">
        <v>13</v>
      </c>
      <c r="F393" t="s">
        <v>38</v>
      </c>
      <c r="G393">
        <v>5</v>
      </c>
      <c r="H393">
        <v>0.1</v>
      </c>
      <c r="I393">
        <v>135</v>
      </c>
      <c r="J393">
        <v>12.54</v>
      </c>
    </row>
    <row r="394" spans="1:10" x14ac:dyDescent="0.25">
      <c r="A394" t="s">
        <v>637</v>
      </c>
      <c r="B394" s="1">
        <v>45777</v>
      </c>
      <c r="C394" t="s">
        <v>638</v>
      </c>
      <c r="D394" t="s">
        <v>19</v>
      </c>
      <c r="E394" t="s">
        <v>20</v>
      </c>
      <c r="F394" t="s">
        <v>14</v>
      </c>
      <c r="G394">
        <v>3</v>
      </c>
      <c r="H394">
        <v>0.05</v>
      </c>
      <c r="I394">
        <v>513</v>
      </c>
      <c r="J394">
        <v>162.28</v>
      </c>
    </row>
    <row r="395" spans="1:10" x14ac:dyDescent="0.25">
      <c r="A395" t="s">
        <v>639</v>
      </c>
      <c r="B395" s="1">
        <v>45777</v>
      </c>
      <c r="C395" t="s">
        <v>640</v>
      </c>
      <c r="D395" t="s">
        <v>12</v>
      </c>
      <c r="E395" t="s">
        <v>13</v>
      </c>
      <c r="F395" t="s">
        <v>29</v>
      </c>
      <c r="G395">
        <v>1</v>
      </c>
      <c r="H395">
        <v>0</v>
      </c>
      <c r="I395">
        <v>55</v>
      </c>
      <c r="J395">
        <v>18.47</v>
      </c>
    </row>
    <row r="396" spans="1:10" x14ac:dyDescent="0.25">
      <c r="A396" t="s">
        <v>641</v>
      </c>
      <c r="B396" s="1">
        <v>45777</v>
      </c>
      <c r="C396" t="s">
        <v>76</v>
      </c>
      <c r="D396" t="s">
        <v>50</v>
      </c>
      <c r="E396" t="s">
        <v>28</v>
      </c>
      <c r="F396" t="s">
        <v>29</v>
      </c>
      <c r="G396">
        <v>4</v>
      </c>
      <c r="H396">
        <v>0.05</v>
      </c>
      <c r="I396">
        <v>912</v>
      </c>
      <c r="J396">
        <v>283.49</v>
      </c>
    </row>
    <row r="397" spans="1:10" x14ac:dyDescent="0.25">
      <c r="A397" t="s">
        <v>642</v>
      </c>
      <c r="B397" s="1">
        <v>45777</v>
      </c>
      <c r="C397" t="s">
        <v>419</v>
      </c>
      <c r="D397" t="s">
        <v>19</v>
      </c>
      <c r="E397" t="s">
        <v>20</v>
      </c>
      <c r="F397" t="s">
        <v>38</v>
      </c>
      <c r="G397">
        <v>3</v>
      </c>
      <c r="H397">
        <v>0.1</v>
      </c>
      <c r="I397">
        <v>486</v>
      </c>
      <c r="J397">
        <v>44.16</v>
      </c>
    </row>
    <row r="398" spans="1:10" x14ac:dyDescent="0.25">
      <c r="A398" t="s">
        <v>643</v>
      </c>
      <c r="B398" s="1">
        <v>45778</v>
      </c>
      <c r="C398" t="s">
        <v>644</v>
      </c>
      <c r="D398" t="s">
        <v>12</v>
      </c>
      <c r="E398" t="s">
        <v>13</v>
      </c>
      <c r="F398" t="s">
        <v>21</v>
      </c>
      <c r="G398">
        <v>1</v>
      </c>
      <c r="H398">
        <v>0.2</v>
      </c>
      <c r="I398">
        <v>44</v>
      </c>
      <c r="J398">
        <v>7.67</v>
      </c>
    </row>
    <row r="399" spans="1:10" x14ac:dyDescent="0.25">
      <c r="A399" t="s">
        <v>645</v>
      </c>
      <c r="B399" s="1">
        <v>45778</v>
      </c>
      <c r="C399" t="s">
        <v>103</v>
      </c>
      <c r="D399" t="s">
        <v>37</v>
      </c>
      <c r="E399" t="s">
        <v>28</v>
      </c>
      <c r="F399" t="s">
        <v>21</v>
      </c>
      <c r="G399">
        <v>3</v>
      </c>
      <c r="H399">
        <v>0</v>
      </c>
      <c r="I399">
        <v>240</v>
      </c>
      <c r="J399">
        <v>90.04</v>
      </c>
    </row>
    <row r="400" spans="1:10" x14ac:dyDescent="0.25">
      <c r="A400" t="s">
        <v>646</v>
      </c>
      <c r="B400" s="1">
        <v>45778</v>
      </c>
      <c r="C400" t="s">
        <v>58</v>
      </c>
      <c r="D400" t="s">
        <v>81</v>
      </c>
      <c r="E400" t="s">
        <v>13</v>
      </c>
      <c r="F400" t="s">
        <v>21</v>
      </c>
      <c r="G400">
        <v>1</v>
      </c>
      <c r="H400">
        <v>0.2</v>
      </c>
      <c r="I400">
        <v>36</v>
      </c>
      <c r="J400">
        <v>1.06</v>
      </c>
    </row>
    <row r="401" spans="1:10" x14ac:dyDescent="0.25">
      <c r="A401" t="s">
        <v>647</v>
      </c>
      <c r="B401" s="1">
        <v>45779</v>
      </c>
      <c r="C401" t="s">
        <v>604</v>
      </c>
      <c r="D401" t="s">
        <v>73</v>
      </c>
      <c r="E401" t="s">
        <v>74</v>
      </c>
      <c r="F401" t="s">
        <v>14</v>
      </c>
      <c r="G401">
        <v>3</v>
      </c>
      <c r="H401">
        <v>0.05</v>
      </c>
      <c r="I401">
        <v>22.8</v>
      </c>
      <c r="J401">
        <v>5.7</v>
      </c>
    </row>
    <row r="402" spans="1:10" x14ac:dyDescent="0.25">
      <c r="A402" t="s">
        <v>648</v>
      </c>
      <c r="B402" s="1">
        <v>45779</v>
      </c>
      <c r="C402" t="s">
        <v>200</v>
      </c>
      <c r="D402" t="s">
        <v>73</v>
      </c>
      <c r="E402" t="s">
        <v>74</v>
      </c>
      <c r="F402" t="s">
        <v>38</v>
      </c>
      <c r="G402">
        <v>5</v>
      </c>
      <c r="H402">
        <v>0.1</v>
      </c>
      <c r="I402">
        <v>36</v>
      </c>
      <c r="J402">
        <v>6.15</v>
      </c>
    </row>
    <row r="403" spans="1:10" x14ac:dyDescent="0.25">
      <c r="A403" t="s">
        <v>649</v>
      </c>
      <c r="B403" s="1">
        <v>45779</v>
      </c>
      <c r="C403" t="s">
        <v>158</v>
      </c>
      <c r="D403" t="s">
        <v>12</v>
      </c>
      <c r="E403" t="s">
        <v>13</v>
      </c>
      <c r="F403" t="s">
        <v>21</v>
      </c>
      <c r="G403">
        <v>2</v>
      </c>
      <c r="H403">
        <v>0.2</v>
      </c>
      <c r="I403">
        <v>88</v>
      </c>
      <c r="J403">
        <v>2.64</v>
      </c>
    </row>
    <row r="404" spans="1:10" x14ac:dyDescent="0.25">
      <c r="A404" t="s">
        <v>650</v>
      </c>
      <c r="B404" s="1">
        <v>45780</v>
      </c>
      <c r="C404" t="s">
        <v>181</v>
      </c>
      <c r="D404" t="s">
        <v>50</v>
      </c>
      <c r="E404" t="s">
        <v>28</v>
      </c>
      <c r="F404" t="s">
        <v>29</v>
      </c>
      <c r="G404">
        <v>4</v>
      </c>
      <c r="H404">
        <v>0</v>
      </c>
      <c r="I404">
        <v>960</v>
      </c>
      <c r="J404">
        <v>288.22000000000003</v>
      </c>
    </row>
    <row r="405" spans="1:10" x14ac:dyDescent="0.25">
      <c r="A405" t="s">
        <v>651</v>
      </c>
      <c r="B405" s="1">
        <v>45780</v>
      </c>
      <c r="C405" t="s">
        <v>145</v>
      </c>
      <c r="D405" t="s">
        <v>50</v>
      </c>
      <c r="E405" t="s">
        <v>28</v>
      </c>
      <c r="F405" t="s">
        <v>21</v>
      </c>
      <c r="G405">
        <v>4</v>
      </c>
      <c r="H405">
        <v>0</v>
      </c>
      <c r="I405">
        <v>960</v>
      </c>
      <c r="J405">
        <v>310.51</v>
      </c>
    </row>
    <row r="406" spans="1:10" x14ac:dyDescent="0.25">
      <c r="A406" t="s">
        <v>652</v>
      </c>
      <c r="B406" s="1">
        <v>45780</v>
      </c>
      <c r="C406" t="s">
        <v>653</v>
      </c>
      <c r="D406" t="s">
        <v>81</v>
      </c>
      <c r="E406" t="s">
        <v>13</v>
      </c>
      <c r="F406" t="s">
        <v>29</v>
      </c>
      <c r="G406">
        <v>4</v>
      </c>
      <c r="H406">
        <v>0.05</v>
      </c>
      <c r="I406">
        <v>171</v>
      </c>
      <c r="J406">
        <v>49.48</v>
      </c>
    </row>
    <row r="407" spans="1:10" x14ac:dyDescent="0.25">
      <c r="A407" t="s">
        <v>654</v>
      </c>
      <c r="B407" s="1">
        <v>45780</v>
      </c>
      <c r="C407" t="s">
        <v>655</v>
      </c>
      <c r="D407" t="s">
        <v>73</v>
      </c>
      <c r="E407" t="s">
        <v>74</v>
      </c>
      <c r="F407" t="s">
        <v>29</v>
      </c>
      <c r="G407">
        <v>2</v>
      </c>
      <c r="H407">
        <v>0.15</v>
      </c>
      <c r="I407">
        <v>13.6</v>
      </c>
      <c r="J407">
        <v>2.82</v>
      </c>
    </row>
    <row r="408" spans="1:10" x14ac:dyDescent="0.25">
      <c r="A408" t="s">
        <v>656</v>
      </c>
      <c r="B408" s="1">
        <v>45781</v>
      </c>
      <c r="C408" t="s">
        <v>549</v>
      </c>
      <c r="D408" t="s">
        <v>19</v>
      </c>
      <c r="E408" t="s">
        <v>20</v>
      </c>
      <c r="F408" t="s">
        <v>21</v>
      </c>
      <c r="G408">
        <v>2</v>
      </c>
      <c r="H408">
        <v>0.2</v>
      </c>
      <c r="I408">
        <v>288</v>
      </c>
      <c r="J408">
        <v>54.77</v>
      </c>
    </row>
    <row r="409" spans="1:10" x14ac:dyDescent="0.25">
      <c r="A409" t="s">
        <v>657</v>
      </c>
      <c r="B409" s="1">
        <v>45781</v>
      </c>
      <c r="C409" t="s">
        <v>575</v>
      </c>
      <c r="D409" t="s">
        <v>27</v>
      </c>
      <c r="E409" t="s">
        <v>28</v>
      </c>
      <c r="F409" t="s">
        <v>29</v>
      </c>
      <c r="G409">
        <v>3</v>
      </c>
      <c r="H409">
        <v>0.05</v>
      </c>
      <c r="I409">
        <v>1852.5</v>
      </c>
      <c r="J409">
        <v>292.56</v>
      </c>
    </row>
    <row r="410" spans="1:10" x14ac:dyDescent="0.25">
      <c r="A410" t="s">
        <v>658</v>
      </c>
      <c r="B410" s="1">
        <v>45781</v>
      </c>
      <c r="C410" t="s">
        <v>659</v>
      </c>
      <c r="D410" t="s">
        <v>19</v>
      </c>
      <c r="E410" t="s">
        <v>20</v>
      </c>
      <c r="F410" t="s">
        <v>14</v>
      </c>
      <c r="G410">
        <v>5</v>
      </c>
      <c r="H410">
        <v>0</v>
      </c>
      <c r="I410">
        <v>900</v>
      </c>
      <c r="J410">
        <v>266.62</v>
      </c>
    </row>
    <row r="411" spans="1:10" x14ac:dyDescent="0.25">
      <c r="A411" t="s">
        <v>660</v>
      </c>
      <c r="B411" s="1">
        <v>45782</v>
      </c>
      <c r="C411" t="s">
        <v>336</v>
      </c>
      <c r="D411" t="s">
        <v>24</v>
      </c>
      <c r="E411" t="s">
        <v>20</v>
      </c>
      <c r="F411" t="s">
        <v>21</v>
      </c>
      <c r="G411">
        <v>2</v>
      </c>
      <c r="H411">
        <v>0.2</v>
      </c>
      <c r="I411">
        <v>352</v>
      </c>
      <c r="J411">
        <v>66.44</v>
      </c>
    </row>
    <row r="412" spans="1:10" x14ac:dyDescent="0.25">
      <c r="A412" t="s">
        <v>661</v>
      </c>
      <c r="B412" s="1">
        <v>45782</v>
      </c>
      <c r="C412" t="s">
        <v>107</v>
      </c>
      <c r="D412" t="s">
        <v>24</v>
      </c>
      <c r="E412" t="s">
        <v>20</v>
      </c>
      <c r="F412" t="s">
        <v>21</v>
      </c>
      <c r="G412">
        <v>1</v>
      </c>
      <c r="H412">
        <v>0.05</v>
      </c>
      <c r="I412">
        <v>209</v>
      </c>
      <c r="J412">
        <v>29.83</v>
      </c>
    </row>
    <row r="413" spans="1:10" x14ac:dyDescent="0.25">
      <c r="A413" t="s">
        <v>662</v>
      </c>
      <c r="B413" s="1">
        <v>45782</v>
      </c>
      <c r="C413" t="s">
        <v>504</v>
      </c>
      <c r="D413" t="s">
        <v>24</v>
      </c>
      <c r="E413" t="s">
        <v>20</v>
      </c>
      <c r="F413" t="s">
        <v>38</v>
      </c>
      <c r="G413">
        <v>4</v>
      </c>
      <c r="H413">
        <v>0.05</v>
      </c>
      <c r="I413">
        <v>836</v>
      </c>
      <c r="J413">
        <v>274.76</v>
      </c>
    </row>
    <row r="414" spans="1:10" x14ac:dyDescent="0.25">
      <c r="A414" t="s">
        <v>663</v>
      </c>
      <c r="B414" s="1">
        <v>45783</v>
      </c>
      <c r="C414" t="s">
        <v>216</v>
      </c>
      <c r="D414" t="s">
        <v>27</v>
      </c>
      <c r="E414" t="s">
        <v>28</v>
      </c>
      <c r="F414" t="s">
        <v>21</v>
      </c>
      <c r="G414">
        <v>1</v>
      </c>
      <c r="H414">
        <v>0.2</v>
      </c>
      <c r="I414">
        <v>520</v>
      </c>
      <c r="J414">
        <v>87.44</v>
      </c>
    </row>
    <row r="415" spans="1:10" x14ac:dyDescent="0.25">
      <c r="A415" t="s">
        <v>664</v>
      </c>
      <c r="B415" s="1">
        <v>45783</v>
      </c>
      <c r="C415" t="s">
        <v>76</v>
      </c>
      <c r="D415" t="s">
        <v>50</v>
      </c>
      <c r="E415" t="s">
        <v>28</v>
      </c>
      <c r="F415" t="s">
        <v>21</v>
      </c>
      <c r="G415">
        <v>1</v>
      </c>
      <c r="H415">
        <v>0.1</v>
      </c>
      <c r="I415">
        <v>216</v>
      </c>
      <c r="J415">
        <v>63.28</v>
      </c>
    </row>
    <row r="416" spans="1:10" x14ac:dyDescent="0.25">
      <c r="A416" t="s">
        <v>665</v>
      </c>
      <c r="B416" s="1">
        <v>45783</v>
      </c>
      <c r="C416" t="s">
        <v>101</v>
      </c>
      <c r="D416" t="s">
        <v>27</v>
      </c>
      <c r="E416" t="s">
        <v>28</v>
      </c>
      <c r="F416" t="s">
        <v>14</v>
      </c>
      <c r="G416">
        <v>2</v>
      </c>
      <c r="H416">
        <v>0</v>
      </c>
      <c r="I416">
        <v>1300</v>
      </c>
      <c r="J416">
        <v>248.12</v>
      </c>
    </row>
    <row r="417" spans="1:10" x14ac:dyDescent="0.25">
      <c r="A417" t="s">
        <v>666</v>
      </c>
      <c r="B417" s="1">
        <v>45783</v>
      </c>
      <c r="C417" t="s">
        <v>667</v>
      </c>
      <c r="D417" t="s">
        <v>37</v>
      </c>
      <c r="E417" t="s">
        <v>28</v>
      </c>
      <c r="F417" t="s">
        <v>38</v>
      </c>
      <c r="G417">
        <v>2</v>
      </c>
      <c r="H417">
        <v>0.05</v>
      </c>
      <c r="I417">
        <v>152</v>
      </c>
      <c r="J417">
        <v>39.619999999999997</v>
      </c>
    </row>
    <row r="418" spans="1:10" x14ac:dyDescent="0.25">
      <c r="A418" t="s">
        <v>668</v>
      </c>
      <c r="B418" s="1">
        <v>45784</v>
      </c>
      <c r="C418" t="s">
        <v>425</v>
      </c>
      <c r="D418" t="s">
        <v>81</v>
      </c>
      <c r="E418" t="s">
        <v>13</v>
      </c>
      <c r="F418" t="s">
        <v>21</v>
      </c>
      <c r="G418">
        <v>4</v>
      </c>
      <c r="H418">
        <v>0</v>
      </c>
      <c r="I418">
        <v>180</v>
      </c>
      <c r="J418">
        <v>49.95</v>
      </c>
    </row>
    <row r="419" spans="1:10" x14ac:dyDescent="0.25">
      <c r="A419" t="s">
        <v>669</v>
      </c>
      <c r="B419" s="1">
        <v>45784</v>
      </c>
      <c r="C419" t="s">
        <v>455</v>
      </c>
      <c r="D419" t="s">
        <v>32</v>
      </c>
      <c r="E419" t="s">
        <v>28</v>
      </c>
      <c r="F419" t="s">
        <v>29</v>
      </c>
      <c r="G419">
        <v>3</v>
      </c>
      <c r="H419">
        <v>0.15</v>
      </c>
      <c r="I419">
        <v>1275</v>
      </c>
      <c r="J419">
        <v>284.58999999999997</v>
      </c>
    </row>
    <row r="420" spans="1:10" x14ac:dyDescent="0.25">
      <c r="A420" t="s">
        <v>670</v>
      </c>
      <c r="B420" s="1">
        <v>45784</v>
      </c>
      <c r="C420" t="s">
        <v>671</v>
      </c>
      <c r="D420" t="s">
        <v>73</v>
      </c>
      <c r="E420" t="s">
        <v>74</v>
      </c>
      <c r="F420" t="s">
        <v>14</v>
      </c>
      <c r="G420">
        <v>4</v>
      </c>
      <c r="H420">
        <v>0.15</v>
      </c>
      <c r="I420">
        <v>27.2</v>
      </c>
      <c r="J420">
        <v>4.04</v>
      </c>
    </row>
    <row r="421" spans="1:10" x14ac:dyDescent="0.25">
      <c r="A421" t="s">
        <v>672</v>
      </c>
      <c r="B421" s="1">
        <v>45785</v>
      </c>
      <c r="C421" t="s">
        <v>673</v>
      </c>
      <c r="D421" t="s">
        <v>81</v>
      </c>
      <c r="E421" t="s">
        <v>13</v>
      </c>
      <c r="F421" t="s">
        <v>21</v>
      </c>
      <c r="G421">
        <v>4</v>
      </c>
      <c r="H421">
        <v>0.15</v>
      </c>
      <c r="I421">
        <v>153</v>
      </c>
      <c r="J421">
        <v>32.799999999999997</v>
      </c>
    </row>
    <row r="422" spans="1:10" x14ac:dyDescent="0.25">
      <c r="A422" t="s">
        <v>674</v>
      </c>
      <c r="B422" s="1">
        <v>45785</v>
      </c>
      <c r="C422" t="s">
        <v>103</v>
      </c>
      <c r="D422" t="s">
        <v>73</v>
      </c>
      <c r="E422" t="s">
        <v>74</v>
      </c>
      <c r="F422" t="s">
        <v>38</v>
      </c>
      <c r="G422">
        <v>1</v>
      </c>
      <c r="H422">
        <v>0</v>
      </c>
      <c r="I422">
        <v>8</v>
      </c>
      <c r="J422">
        <v>2.94</v>
      </c>
    </row>
    <row r="423" spans="1:10" x14ac:dyDescent="0.25">
      <c r="A423" t="s">
        <v>675</v>
      </c>
      <c r="B423" s="1">
        <v>45785</v>
      </c>
      <c r="C423" t="s">
        <v>409</v>
      </c>
      <c r="D423" t="s">
        <v>91</v>
      </c>
      <c r="E423" t="s">
        <v>13</v>
      </c>
      <c r="F423" t="s">
        <v>38</v>
      </c>
      <c r="G423">
        <v>4</v>
      </c>
      <c r="H423">
        <v>0.1</v>
      </c>
      <c r="I423">
        <v>108</v>
      </c>
      <c r="J423">
        <v>21.65</v>
      </c>
    </row>
    <row r="424" spans="1:10" x14ac:dyDescent="0.25">
      <c r="A424" t="s">
        <v>676</v>
      </c>
      <c r="B424" s="1">
        <v>45786</v>
      </c>
      <c r="C424" t="s">
        <v>228</v>
      </c>
      <c r="D424" t="s">
        <v>19</v>
      </c>
      <c r="E424" t="s">
        <v>20</v>
      </c>
      <c r="F424" t="s">
        <v>38</v>
      </c>
      <c r="G424">
        <v>1</v>
      </c>
      <c r="H424">
        <v>0.05</v>
      </c>
      <c r="I424">
        <v>171</v>
      </c>
      <c r="J424">
        <v>56.04</v>
      </c>
    </row>
    <row r="425" spans="1:10" x14ac:dyDescent="0.25">
      <c r="A425" t="s">
        <v>677</v>
      </c>
      <c r="B425" s="1">
        <v>45786</v>
      </c>
      <c r="C425" t="s">
        <v>678</v>
      </c>
      <c r="D425" t="s">
        <v>91</v>
      </c>
      <c r="E425" t="s">
        <v>13</v>
      </c>
      <c r="F425" t="s">
        <v>29</v>
      </c>
      <c r="G425">
        <v>4</v>
      </c>
      <c r="H425">
        <v>0.1</v>
      </c>
      <c r="I425">
        <v>108</v>
      </c>
      <c r="J425">
        <v>26.71</v>
      </c>
    </row>
    <row r="426" spans="1:10" x14ac:dyDescent="0.25">
      <c r="A426" t="s">
        <v>679</v>
      </c>
      <c r="B426" s="1">
        <v>45786</v>
      </c>
      <c r="C426" t="s">
        <v>260</v>
      </c>
      <c r="D426" t="s">
        <v>24</v>
      </c>
      <c r="E426" t="s">
        <v>20</v>
      </c>
      <c r="F426" t="s">
        <v>29</v>
      </c>
      <c r="G426">
        <v>5</v>
      </c>
      <c r="H426">
        <v>0.05</v>
      </c>
      <c r="I426">
        <v>1045</v>
      </c>
      <c r="J426">
        <v>221.61</v>
      </c>
    </row>
    <row r="427" spans="1:10" x14ac:dyDescent="0.25">
      <c r="A427" t="s">
        <v>680</v>
      </c>
      <c r="B427" s="1">
        <v>45787</v>
      </c>
      <c r="C427" t="s">
        <v>681</v>
      </c>
      <c r="D427" t="s">
        <v>37</v>
      </c>
      <c r="E427" t="s">
        <v>28</v>
      </c>
      <c r="F427" t="s">
        <v>29</v>
      </c>
      <c r="G427">
        <v>2</v>
      </c>
      <c r="H427">
        <v>0.05</v>
      </c>
      <c r="I427">
        <v>152</v>
      </c>
      <c r="J427">
        <v>34.950000000000003</v>
      </c>
    </row>
    <row r="428" spans="1:10" x14ac:dyDescent="0.25">
      <c r="A428" t="s">
        <v>682</v>
      </c>
      <c r="B428" s="1">
        <v>45787</v>
      </c>
      <c r="C428" t="s">
        <v>273</v>
      </c>
      <c r="D428" t="s">
        <v>32</v>
      </c>
      <c r="E428" t="s">
        <v>28</v>
      </c>
      <c r="F428" t="s">
        <v>21</v>
      </c>
      <c r="G428">
        <v>5</v>
      </c>
      <c r="H428">
        <v>0.2</v>
      </c>
      <c r="I428">
        <v>2000</v>
      </c>
      <c r="J428">
        <v>311.55</v>
      </c>
    </row>
    <row r="429" spans="1:10" x14ac:dyDescent="0.25">
      <c r="A429" t="s">
        <v>683</v>
      </c>
      <c r="B429" s="1">
        <v>45787</v>
      </c>
      <c r="C429" t="s">
        <v>285</v>
      </c>
      <c r="D429" t="s">
        <v>27</v>
      </c>
      <c r="E429" t="s">
        <v>28</v>
      </c>
      <c r="F429" t="s">
        <v>29</v>
      </c>
      <c r="G429">
        <v>4</v>
      </c>
      <c r="H429">
        <v>0</v>
      </c>
      <c r="I429">
        <v>2600</v>
      </c>
      <c r="J429">
        <v>892.2</v>
      </c>
    </row>
    <row r="430" spans="1:10" x14ac:dyDescent="0.25">
      <c r="A430" t="s">
        <v>684</v>
      </c>
      <c r="B430" s="1">
        <v>45787</v>
      </c>
      <c r="C430" t="s">
        <v>685</v>
      </c>
      <c r="D430" t="s">
        <v>24</v>
      </c>
      <c r="E430" t="s">
        <v>20</v>
      </c>
      <c r="F430" t="s">
        <v>29</v>
      </c>
      <c r="G430">
        <v>4</v>
      </c>
      <c r="H430">
        <v>0.15</v>
      </c>
      <c r="I430">
        <v>748</v>
      </c>
      <c r="J430">
        <v>32.07</v>
      </c>
    </row>
    <row r="431" spans="1:10" x14ac:dyDescent="0.25">
      <c r="A431" t="s">
        <v>686</v>
      </c>
      <c r="B431" s="1">
        <v>45788</v>
      </c>
      <c r="C431" t="s">
        <v>373</v>
      </c>
      <c r="D431" t="s">
        <v>50</v>
      </c>
      <c r="E431" t="s">
        <v>28</v>
      </c>
      <c r="F431" t="s">
        <v>38</v>
      </c>
      <c r="G431">
        <v>4</v>
      </c>
      <c r="H431">
        <v>0.1</v>
      </c>
      <c r="I431">
        <v>864</v>
      </c>
      <c r="J431">
        <v>207.42</v>
      </c>
    </row>
    <row r="432" spans="1:10" x14ac:dyDescent="0.25">
      <c r="A432" t="s">
        <v>687</v>
      </c>
      <c r="B432" s="1">
        <v>45788</v>
      </c>
      <c r="C432" t="s">
        <v>688</v>
      </c>
      <c r="D432" t="s">
        <v>12</v>
      </c>
      <c r="E432" t="s">
        <v>13</v>
      </c>
      <c r="F432" t="s">
        <v>29</v>
      </c>
      <c r="G432">
        <v>5</v>
      </c>
      <c r="H432">
        <v>0.1</v>
      </c>
      <c r="I432">
        <v>247.5</v>
      </c>
      <c r="J432">
        <v>42.09</v>
      </c>
    </row>
    <row r="433" spans="1:10" x14ac:dyDescent="0.25">
      <c r="A433" t="s">
        <v>689</v>
      </c>
      <c r="B433" s="1">
        <v>45788</v>
      </c>
      <c r="C433" t="s">
        <v>72</v>
      </c>
      <c r="D433" t="s">
        <v>81</v>
      </c>
      <c r="E433" t="s">
        <v>13</v>
      </c>
      <c r="F433" t="s">
        <v>14</v>
      </c>
      <c r="G433">
        <v>2</v>
      </c>
      <c r="H433">
        <v>0.05</v>
      </c>
      <c r="I433">
        <v>85.5</v>
      </c>
      <c r="J433">
        <v>26.78</v>
      </c>
    </row>
    <row r="434" spans="1:10" x14ac:dyDescent="0.25">
      <c r="A434" t="s">
        <v>690</v>
      </c>
      <c r="B434" s="1">
        <v>45789</v>
      </c>
      <c r="C434" t="s">
        <v>258</v>
      </c>
      <c r="D434" t="s">
        <v>50</v>
      </c>
      <c r="E434" t="s">
        <v>28</v>
      </c>
      <c r="F434" t="s">
        <v>21</v>
      </c>
      <c r="G434">
        <v>3</v>
      </c>
      <c r="H434">
        <v>0.1</v>
      </c>
      <c r="I434">
        <v>648</v>
      </c>
      <c r="J434">
        <v>98.01</v>
      </c>
    </row>
    <row r="435" spans="1:10" x14ac:dyDescent="0.25">
      <c r="A435" t="s">
        <v>691</v>
      </c>
      <c r="B435" s="1">
        <v>45789</v>
      </c>
      <c r="C435" t="s">
        <v>275</v>
      </c>
      <c r="D435" t="s">
        <v>24</v>
      </c>
      <c r="E435" t="s">
        <v>20</v>
      </c>
      <c r="F435" t="s">
        <v>38</v>
      </c>
      <c r="G435">
        <v>3</v>
      </c>
      <c r="H435">
        <v>0</v>
      </c>
      <c r="I435">
        <v>660</v>
      </c>
      <c r="J435">
        <v>137.52000000000001</v>
      </c>
    </row>
    <row r="436" spans="1:10" x14ac:dyDescent="0.25">
      <c r="A436" t="s">
        <v>692</v>
      </c>
      <c r="B436" s="1">
        <v>45789</v>
      </c>
      <c r="C436" t="s">
        <v>610</v>
      </c>
      <c r="D436" t="s">
        <v>50</v>
      </c>
      <c r="E436" t="s">
        <v>28</v>
      </c>
      <c r="F436" t="s">
        <v>29</v>
      </c>
      <c r="G436">
        <v>3</v>
      </c>
      <c r="H436">
        <v>0.2</v>
      </c>
      <c r="I436">
        <v>576</v>
      </c>
      <c r="J436">
        <v>35.76</v>
      </c>
    </row>
    <row r="437" spans="1:10" x14ac:dyDescent="0.25">
      <c r="A437" t="s">
        <v>693</v>
      </c>
      <c r="B437" s="1">
        <v>45790</v>
      </c>
      <c r="C437" t="s">
        <v>455</v>
      </c>
      <c r="D437" t="s">
        <v>37</v>
      </c>
      <c r="E437" t="s">
        <v>28</v>
      </c>
      <c r="F437" t="s">
        <v>29</v>
      </c>
      <c r="G437">
        <v>3</v>
      </c>
      <c r="H437">
        <v>0.15</v>
      </c>
      <c r="I437">
        <v>204</v>
      </c>
      <c r="J437">
        <v>29.98</v>
      </c>
    </row>
    <row r="438" spans="1:10" x14ac:dyDescent="0.25">
      <c r="A438" t="s">
        <v>694</v>
      </c>
      <c r="B438" s="1">
        <v>45790</v>
      </c>
      <c r="C438" t="s">
        <v>139</v>
      </c>
      <c r="D438" t="s">
        <v>91</v>
      </c>
      <c r="E438" t="s">
        <v>13</v>
      </c>
      <c r="F438" t="s">
        <v>21</v>
      </c>
      <c r="G438">
        <v>2</v>
      </c>
      <c r="H438">
        <v>0</v>
      </c>
      <c r="I438">
        <v>60</v>
      </c>
      <c r="J438">
        <v>19.920000000000002</v>
      </c>
    </row>
    <row r="439" spans="1:10" x14ac:dyDescent="0.25">
      <c r="A439" t="s">
        <v>695</v>
      </c>
      <c r="B439" s="1">
        <v>45790</v>
      </c>
      <c r="C439" t="s">
        <v>179</v>
      </c>
      <c r="D439" t="s">
        <v>50</v>
      </c>
      <c r="E439" t="s">
        <v>28</v>
      </c>
      <c r="F439" t="s">
        <v>29</v>
      </c>
      <c r="G439">
        <v>3</v>
      </c>
      <c r="H439">
        <v>0.05</v>
      </c>
      <c r="I439">
        <v>684</v>
      </c>
      <c r="J439">
        <v>129.77000000000001</v>
      </c>
    </row>
    <row r="440" spans="1:10" x14ac:dyDescent="0.25">
      <c r="A440" t="s">
        <v>696</v>
      </c>
      <c r="B440" s="1">
        <v>45790</v>
      </c>
      <c r="C440" t="s">
        <v>443</v>
      </c>
      <c r="D440" t="s">
        <v>81</v>
      </c>
      <c r="E440" t="s">
        <v>13</v>
      </c>
      <c r="F440" t="s">
        <v>38</v>
      </c>
      <c r="G440">
        <v>1</v>
      </c>
      <c r="H440">
        <v>0.15</v>
      </c>
      <c r="I440">
        <v>38.25</v>
      </c>
      <c r="J440">
        <v>6.11</v>
      </c>
    </row>
    <row r="441" spans="1:10" x14ac:dyDescent="0.25">
      <c r="A441" t="s">
        <v>697</v>
      </c>
      <c r="B441" s="1">
        <v>45791</v>
      </c>
      <c r="C441" t="s">
        <v>698</v>
      </c>
      <c r="D441" t="s">
        <v>32</v>
      </c>
      <c r="E441" t="s">
        <v>28</v>
      </c>
      <c r="F441" t="s">
        <v>38</v>
      </c>
      <c r="G441">
        <v>1</v>
      </c>
      <c r="H441">
        <v>0</v>
      </c>
      <c r="I441">
        <v>500</v>
      </c>
      <c r="J441">
        <v>122.38</v>
      </c>
    </row>
    <row r="442" spans="1:10" x14ac:dyDescent="0.25">
      <c r="A442" t="s">
        <v>699</v>
      </c>
      <c r="B442" s="1">
        <v>45791</v>
      </c>
      <c r="C442" t="s">
        <v>95</v>
      </c>
      <c r="D442" t="s">
        <v>91</v>
      </c>
      <c r="E442" t="s">
        <v>13</v>
      </c>
      <c r="F442" t="s">
        <v>29</v>
      </c>
      <c r="G442">
        <v>4</v>
      </c>
      <c r="H442">
        <v>0.1</v>
      </c>
      <c r="I442">
        <v>108</v>
      </c>
      <c r="J442">
        <v>29.59</v>
      </c>
    </row>
    <row r="443" spans="1:10" x14ac:dyDescent="0.25">
      <c r="A443" t="s">
        <v>700</v>
      </c>
      <c r="B443" s="1">
        <v>45791</v>
      </c>
      <c r="C443" t="s">
        <v>18</v>
      </c>
      <c r="D443" t="s">
        <v>27</v>
      </c>
      <c r="E443" t="s">
        <v>28</v>
      </c>
      <c r="F443" t="s">
        <v>38</v>
      </c>
      <c r="G443">
        <v>3</v>
      </c>
      <c r="H443">
        <v>0.1</v>
      </c>
      <c r="I443">
        <v>1755</v>
      </c>
      <c r="J443">
        <v>346.06</v>
      </c>
    </row>
    <row r="444" spans="1:10" x14ac:dyDescent="0.25">
      <c r="A444" t="s">
        <v>701</v>
      </c>
      <c r="B444" s="1">
        <v>45792</v>
      </c>
      <c r="C444" t="s">
        <v>659</v>
      </c>
      <c r="D444" t="s">
        <v>24</v>
      </c>
      <c r="E444" t="s">
        <v>20</v>
      </c>
      <c r="F444" t="s">
        <v>29</v>
      </c>
      <c r="G444">
        <v>3</v>
      </c>
      <c r="H444">
        <v>0.15</v>
      </c>
      <c r="I444">
        <v>561</v>
      </c>
      <c r="J444">
        <v>97.9</v>
      </c>
    </row>
    <row r="445" spans="1:10" x14ac:dyDescent="0.25">
      <c r="A445" t="s">
        <v>702</v>
      </c>
      <c r="B445" s="1">
        <v>45792</v>
      </c>
      <c r="C445" t="s">
        <v>392</v>
      </c>
      <c r="D445" t="s">
        <v>27</v>
      </c>
      <c r="E445" t="s">
        <v>28</v>
      </c>
      <c r="F445" t="s">
        <v>38</v>
      </c>
      <c r="G445">
        <v>1</v>
      </c>
      <c r="H445">
        <v>0.15</v>
      </c>
      <c r="I445">
        <v>552.5</v>
      </c>
      <c r="J445">
        <v>63.05</v>
      </c>
    </row>
    <row r="446" spans="1:10" x14ac:dyDescent="0.25">
      <c r="A446" t="s">
        <v>703</v>
      </c>
      <c r="B446" s="1">
        <v>45792</v>
      </c>
      <c r="C446" t="s">
        <v>219</v>
      </c>
      <c r="D446" t="s">
        <v>27</v>
      </c>
      <c r="E446" t="s">
        <v>28</v>
      </c>
      <c r="F446" t="s">
        <v>21</v>
      </c>
      <c r="G446">
        <v>3</v>
      </c>
      <c r="H446">
        <v>0</v>
      </c>
      <c r="I446">
        <v>1950</v>
      </c>
      <c r="J446">
        <v>675.06</v>
      </c>
    </row>
    <row r="447" spans="1:10" x14ac:dyDescent="0.25">
      <c r="A447" t="s">
        <v>704</v>
      </c>
      <c r="B447" s="1">
        <v>45793</v>
      </c>
      <c r="C447" t="s">
        <v>705</v>
      </c>
      <c r="D447" t="s">
        <v>19</v>
      </c>
      <c r="E447" t="s">
        <v>20</v>
      </c>
      <c r="F447" t="s">
        <v>38</v>
      </c>
      <c r="G447">
        <v>5</v>
      </c>
      <c r="H447">
        <v>0.1</v>
      </c>
      <c r="I447">
        <v>810</v>
      </c>
      <c r="J447">
        <v>183.53</v>
      </c>
    </row>
    <row r="448" spans="1:10" x14ac:dyDescent="0.25">
      <c r="A448" t="s">
        <v>706</v>
      </c>
      <c r="B448" s="1">
        <v>45793</v>
      </c>
      <c r="C448" t="s">
        <v>258</v>
      </c>
      <c r="D448" t="s">
        <v>19</v>
      </c>
      <c r="E448" t="s">
        <v>20</v>
      </c>
      <c r="F448" t="s">
        <v>21</v>
      </c>
      <c r="G448">
        <v>1</v>
      </c>
      <c r="H448">
        <v>0</v>
      </c>
      <c r="I448">
        <v>180</v>
      </c>
      <c r="J448">
        <v>41.76</v>
      </c>
    </row>
    <row r="449" spans="1:10" x14ac:dyDescent="0.25">
      <c r="A449" t="s">
        <v>707</v>
      </c>
      <c r="B449" s="1">
        <v>45793</v>
      </c>
      <c r="C449" t="s">
        <v>685</v>
      </c>
      <c r="D449" t="s">
        <v>12</v>
      </c>
      <c r="E449" t="s">
        <v>13</v>
      </c>
      <c r="F449" t="s">
        <v>14</v>
      </c>
      <c r="G449">
        <v>1</v>
      </c>
      <c r="H449">
        <v>0.05</v>
      </c>
      <c r="I449">
        <v>52.25</v>
      </c>
      <c r="J449">
        <v>8.1300000000000008</v>
      </c>
    </row>
    <row r="450" spans="1:10" x14ac:dyDescent="0.25">
      <c r="A450" t="s">
        <v>708</v>
      </c>
      <c r="B450" s="1">
        <v>45794</v>
      </c>
      <c r="C450" t="s">
        <v>640</v>
      </c>
      <c r="D450" t="s">
        <v>19</v>
      </c>
      <c r="E450" t="s">
        <v>20</v>
      </c>
      <c r="F450" t="s">
        <v>29</v>
      </c>
      <c r="G450">
        <v>5</v>
      </c>
      <c r="H450">
        <v>0.2</v>
      </c>
      <c r="I450">
        <v>720</v>
      </c>
      <c r="J450">
        <v>31.2</v>
      </c>
    </row>
    <row r="451" spans="1:10" x14ac:dyDescent="0.25">
      <c r="A451" t="s">
        <v>709</v>
      </c>
      <c r="B451" s="1">
        <v>45794</v>
      </c>
      <c r="C451" t="s">
        <v>437</v>
      </c>
      <c r="D451" t="s">
        <v>12</v>
      </c>
      <c r="E451" t="s">
        <v>13</v>
      </c>
      <c r="F451" t="s">
        <v>21</v>
      </c>
      <c r="G451">
        <v>1</v>
      </c>
      <c r="H451">
        <v>0.05</v>
      </c>
      <c r="I451">
        <v>52.25</v>
      </c>
      <c r="J451">
        <v>8.5500000000000007</v>
      </c>
    </row>
    <row r="452" spans="1:10" x14ac:dyDescent="0.25">
      <c r="A452" t="s">
        <v>710</v>
      </c>
      <c r="B452" s="1">
        <v>45794</v>
      </c>
      <c r="C452" t="s">
        <v>711</v>
      </c>
      <c r="D452" t="s">
        <v>24</v>
      </c>
      <c r="E452" t="s">
        <v>20</v>
      </c>
      <c r="F452" t="s">
        <v>29</v>
      </c>
      <c r="G452">
        <v>5</v>
      </c>
      <c r="H452">
        <v>0</v>
      </c>
      <c r="I452">
        <v>1100</v>
      </c>
      <c r="J452">
        <v>360.07</v>
      </c>
    </row>
    <row r="453" spans="1:10" x14ac:dyDescent="0.25">
      <c r="A453" t="s">
        <v>712</v>
      </c>
      <c r="B453" s="1">
        <v>45794</v>
      </c>
      <c r="C453" t="s">
        <v>208</v>
      </c>
      <c r="D453" t="s">
        <v>27</v>
      </c>
      <c r="E453" t="s">
        <v>28</v>
      </c>
      <c r="F453" t="s">
        <v>14</v>
      </c>
      <c r="G453">
        <v>4</v>
      </c>
      <c r="H453">
        <v>0.05</v>
      </c>
      <c r="I453">
        <v>2470</v>
      </c>
      <c r="J453">
        <v>546.85</v>
      </c>
    </row>
    <row r="454" spans="1:10" x14ac:dyDescent="0.25">
      <c r="A454" t="s">
        <v>713</v>
      </c>
      <c r="B454" s="1">
        <v>45795</v>
      </c>
      <c r="C454" t="s">
        <v>714</v>
      </c>
      <c r="D454" t="s">
        <v>50</v>
      </c>
      <c r="E454" t="s">
        <v>28</v>
      </c>
      <c r="F454" t="s">
        <v>14</v>
      </c>
      <c r="G454">
        <v>4</v>
      </c>
      <c r="H454">
        <v>0</v>
      </c>
      <c r="I454">
        <v>960</v>
      </c>
      <c r="J454">
        <v>196.37</v>
      </c>
    </row>
    <row r="455" spans="1:10" x14ac:dyDescent="0.25">
      <c r="A455" t="s">
        <v>715</v>
      </c>
      <c r="B455" s="1">
        <v>45795</v>
      </c>
      <c r="C455" t="s">
        <v>716</v>
      </c>
      <c r="D455" t="s">
        <v>81</v>
      </c>
      <c r="E455" t="s">
        <v>13</v>
      </c>
      <c r="F455" t="s">
        <v>14</v>
      </c>
      <c r="G455">
        <v>1</v>
      </c>
      <c r="H455">
        <v>0.2</v>
      </c>
      <c r="I455">
        <v>36</v>
      </c>
      <c r="J455">
        <v>2.46</v>
      </c>
    </row>
    <row r="456" spans="1:10" x14ac:dyDescent="0.25">
      <c r="A456" t="s">
        <v>717</v>
      </c>
      <c r="B456" s="1">
        <v>45795</v>
      </c>
      <c r="C456" t="s">
        <v>536</v>
      </c>
      <c r="D456" t="s">
        <v>27</v>
      </c>
      <c r="E456" t="s">
        <v>28</v>
      </c>
      <c r="F456" t="s">
        <v>14</v>
      </c>
      <c r="G456">
        <v>4</v>
      </c>
      <c r="H456">
        <v>0.1</v>
      </c>
      <c r="I456">
        <v>2340</v>
      </c>
      <c r="J456">
        <v>210.37</v>
      </c>
    </row>
    <row r="457" spans="1:10" x14ac:dyDescent="0.25">
      <c r="A457" t="s">
        <v>718</v>
      </c>
      <c r="B457" s="1">
        <v>45796</v>
      </c>
      <c r="C457" t="s">
        <v>531</v>
      </c>
      <c r="D457" t="s">
        <v>24</v>
      </c>
      <c r="E457" t="s">
        <v>20</v>
      </c>
      <c r="F457" t="s">
        <v>14</v>
      </c>
      <c r="G457">
        <v>5</v>
      </c>
      <c r="H457">
        <v>0.05</v>
      </c>
      <c r="I457">
        <v>1045</v>
      </c>
      <c r="J457">
        <v>314.55</v>
      </c>
    </row>
    <row r="458" spans="1:10" x14ac:dyDescent="0.25">
      <c r="A458" t="s">
        <v>719</v>
      </c>
      <c r="B458" s="1">
        <v>45796</v>
      </c>
      <c r="C458" t="s">
        <v>58</v>
      </c>
      <c r="D458" t="s">
        <v>24</v>
      </c>
      <c r="E458" t="s">
        <v>20</v>
      </c>
      <c r="F458" t="s">
        <v>14</v>
      </c>
      <c r="G458">
        <v>5</v>
      </c>
      <c r="H458">
        <v>0.1</v>
      </c>
      <c r="I458">
        <v>990</v>
      </c>
      <c r="J458">
        <v>300.82</v>
      </c>
    </row>
    <row r="459" spans="1:10" x14ac:dyDescent="0.25">
      <c r="A459" t="s">
        <v>720</v>
      </c>
      <c r="B459" s="1">
        <v>45796</v>
      </c>
      <c r="C459" t="s">
        <v>153</v>
      </c>
      <c r="D459" t="s">
        <v>37</v>
      </c>
      <c r="E459" t="s">
        <v>28</v>
      </c>
      <c r="F459" t="s">
        <v>21</v>
      </c>
      <c r="G459">
        <v>1</v>
      </c>
      <c r="H459">
        <v>0</v>
      </c>
      <c r="I459">
        <v>80</v>
      </c>
      <c r="J459">
        <v>19.29</v>
      </c>
    </row>
    <row r="460" spans="1:10" x14ac:dyDescent="0.25">
      <c r="A460" t="s">
        <v>721</v>
      </c>
      <c r="B460" s="1">
        <v>45797</v>
      </c>
      <c r="C460" t="s">
        <v>671</v>
      </c>
      <c r="D460" t="s">
        <v>50</v>
      </c>
      <c r="E460" t="s">
        <v>28</v>
      </c>
      <c r="F460" t="s">
        <v>14</v>
      </c>
      <c r="G460">
        <v>3</v>
      </c>
      <c r="H460">
        <v>0.15</v>
      </c>
      <c r="I460">
        <v>612</v>
      </c>
      <c r="J460">
        <v>101.75</v>
      </c>
    </row>
    <row r="461" spans="1:10" x14ac:dyDescent="0.25">
      <c r="A461" t="s">
        <v>722</v>
      </c>
      <c r="B461" s="1">
        <v>45797</v>
      </c>
      <c r="C461" t="s">
        <v>216</v>
      </c>
      <c r="D461" t="s">
        <v>32</v>
      </c>
      <c r="E461" t="s">
        <v>28</v>
      </c>
      <c r="F461" t="s">
        <v>29</v>
      </c>
      <c r="G461">
        <v>4</v>
      </c>
      <c r="H461">
        <v>0.15</v>
      </c>
      <c r="I461">
        <v>1700</v>
      </c>
      <c r="J461">
        <v>204.16</v>
      </c>
    </row>
    <row r="462" spans="1:10" x14ac:dyDescent="0.25">
      <c r="A462" t="s">
        <v>723</v>
      </c>
      <c r="B462" s="1">
        <v>45797</v>
      </c>
      <c r="C462" t="s">
        <v>111</v>
      </c>
      <c r="D462" t="s">
        <v>81</v>
      </c>
      <c r="E462" t="s">
        <v>13</v>
      </c>
      <c r="F462" t="s">
        <v>29</v>
      </c>
      <c r="G462">
        <v>4</v>
      </c>
      <c r="H462">
        <v>0.05</v>
      </c>
      <c r="I462">
        <v>171</v>
      </c>
      <c r="J462">
        <v>35.92</v>
      </c>
    </row>
    <row r="463" spans="1:10" x14ac:dyDescent="0.25">
      <c r="A463" t="s">
        <v>724</v>
      </c>
      <c r="B463" s="1">
        <v>45797</v>
      </c>
      <c r="C463" t="s">
        <v>336</v>
      </c>
      <c r="D463" t="s">
        <v>37</v>
      </c>
      <c r="E463" t="s">
        <v>28</v>
      </c>
      <c r="F463" t="s">
        <v>21</v>
      </c>
      <c r="G463">
        <v>3</v>
      </c>
      <c r="H463">
        <v>0.1</v>
      </c>
      <c r="I463">
        <v>216</v>
      </c>
      <c r="J463">
        <v>42.9</v>
      </c>
    </row>
    <row r="464" spans="1:10" x14ac:dyDescent="0.25">
      <c r="A464" t="s">
        <v>725</v>
      </c>
      <c r="B464" s="1">
        <v>45798</v>
      </c>
      <c r="C464" t="s">
        <v>409</v>
      </c>
      <c r="D464" t="s">
        <v>81</v>
      </c>
      <c r="E464" t="s">
        <v>13</v>
      </c>
      <c r="F464" t="s">
        <v>21</v>
      </c>
      <c r="G464">
        <v>1</v>
      </c>
      <c r="H464">
        <v>0</v>
      </c>
      <c r="I464">
        <v>45</v>
      </c>
      <c r="J464">
        <v>16.739999999999998</v>
      </c>
    </row>
    <row r="465" spans="1:10" x14ac:dyDescent="0.25">
      <c r="A465" t="s">
        <v>726</v>
      </c>
      <c r="B465" s="1">
        <v>45798</v>
      </c>
      <c r="C465" t="s">
        <v>490</v>
      </c>
      <c r="D465" t="s">
        <v>91</v>
      </c>
      <c r="E465" t="s">
        <v>13</v>
      </c>
      <c r="F465" t="s">
        <v>14</v>
      </c>
      <c r="G465">
        <v>3</v>
      </c>
      <c r="H465">
        <v>0.05</v>
      </c>
      <c r="I465">
        <v>85.5</v>
      </c>
      <c r="J465">
        <v>12.21</v>
      </c>
    </row>
    <row r="466" spans="1:10" x14ac:dyDescent="0.25">
      <c r="A466" t="s">
        <v>727</v>
      </c>
      <c r="B466" s="1">
        <v>45798</v>
      </c>
      <c r="C466" t="s">
        <v>352</v>
      </c>
      <c r="D466" t="s">
        <v>27</v>
      </c>
      <c r="E466" t="s">
        <v>28</v>
      </c>
      <c r="F466" t="s">
        <v>29</v>
      </c>
      <c r="G466">
        <v>3</v>
      </c>
      <c r="H466">
        <v>0</v>
      </c>
      <c r="I466">
        <v>1950</v>
      </c>
      <c r="J466">
        <v>502.8</v>
      </c>
    </row>
    <row r="467" spans="1:10" x14ac:dyDescent="0.25">
      <c r="A467" t="s">
        <v>728</v>
      </c>
      <c r="B467" s="1">
        <v>45799</v>
      </c>
      <c r="C467" t="s">
        <v>563</v>
      </c>
      <c r="D467" t="s">
        <v>91</v>
      </c>
      <c r="E467" t="s">
        <v>13</v>
      </c>
      <c r="F467" t="s">
        <v>29</v>
      </c>
      <c r="G467">
        <v>1</v>
      </c>
      <c r="H467">
        <v>0.1</v>
      </c>
      <c r="I467">
        <v>27</v>
      </c>
      <c r="J467">
        <v>8.3699999999999992</v>
      </c>
    </row>
    <row r="468" spans="1:10" x14ac:dyDescent="0.25">
      <c r="A468" t="s">
        <v>729</v>
      </c>
      <c r="B468" s="1">
        <v>45799</v>
      </c>
      <c r="C468" t="s">
        <v>396</v>
      </c>
      <c r="D468" t="s">
        <v>19</v>
      </c>
      <c r="E468" t="s">
        <v>20</v>
      </c>
      <c r="F468" t="s">
        <v>14</v>
      </c>
      <c r="G468">
        <v>4</v>
      </c>
      <c r="H468">
        <v>0.05</v>
      </c>
      <c r="I468">
        <v>684</v>
      </c>
      <c r="J468">
        <v>170.95</v>
      </c>
    </row>
    <row r="469" spans="1:10" x14ac:dyDescent="0.25">
      <c r="A469" t="s">
        <v>730</v>
      </c>
      <c r="B469" s="1">
        <v>45799</v>
      </c>
      <c r="C469" t="s">
        <v>421</v>
      </c>
      <c r="D469" t="s">
        <v>73</v>
      </c>
      <c r="E469" t="s">
        <v>74</v>
      </c>
      <c r="F469" t="s">
        <v>14</v>
      </c>
      <c r="G469">
        <v>3</v>
      </c>
      <c r="H469">
        <v>0</v>
      </c>
      <c r="I469">
        <v>24</v>
      </c>
      <c r="J469">
        <v>7.79</v>
      </c>
    </row>
    <row r="470" spans="1:10" x14ac:dyDescent="0.25">
      <c r="A470" t="s">
        <v>731</v>
      </c>
      <c r="B470" s="1">
        <v>45800</v>
      </c>
      <c r="C470" t="s">
        <v>638</v>
      </c>
      <c r="D470" t="s">
        <v>50</v>
      </c>
      <c r="E470" t="s">
        <v>28</v>
      </c>
      <c r="F470" t="s">
        <v>14</v>
      </c>
      <c r="G470">
        <v>1</v>
      </c>
      <c r="H470">
        <v>0</v>
      </c>
      <c r="I470">
        <v>240</v>
      </c>
      <c r="J470">
        <v>74.63</v>
      </c>
    </row>
    <row r="471" spans="1:10" x14ac:dyDescent="0.25">
      <c r="A471" t="s">
        <v>732</v>
      </c>
      <c r="B471" s="1">
        <v>45800</v>
      </c>
      <c r="C471" t="s">
        <v>130</v>
      </c>
      <c r="D471" t="s">
        <v>12</v>
      </c>
      <c r="E471" t="s">
        <v>13</v>
      </c>
      <c r="F471" t="s">
        <v>21</v>
      </c>
      <c r="G471">
        <v>5</v>
      </c>
      <c r="H471">
        <v>0.1</v>
      </c>
      <c r="I471">
        <v>247.5</v>
      </c>
      <c r="J471">
        <v>74.53</v>
      </c>
    </row>
    <row r="472" spans="1:10" x14ac:dyDescent="0.25">
      <c r="A472" t="s">
        <v>733</v>
      </c>
      <c r="B472" s="1">
        <v>45800</v>
      </c>
      <c r="C472" t="s">
        <v>599</v>
      </c>
      <c r="D472" t="s">
        <v>27</v>
      </c>
      <c r="E472" t="s">
        <v>28</v>
      </c>
      <c r="F472" t="s">
        <v>29</v>
      </c>
      <c r="G472">
        <v>4</v>
      </c>
      <c r="H472">
        <v>0.1</v>
      </c>
      <c r="I472">
        <v>2340</v>
      </c>
      <c r="J472">
        <v>269.23</v>
      </c>
    </row>
    <row r="473" spans="1:10" x14ac:dyDescent="0.25">
      <c r="A473" t="s">
        <v>734</v>
      </c>
      <c r="B473" s="1">
        <v>45800</v>
      </c>
      <c r="C473" t="s">
        <v>246</v>
      </c>
      <c r="D473" t="s">
        <v>27</v>
      </c>
      <c r="E473" t="s">
        <v>28</v>
      </c>
      <c r="F473" t="s">
        <v>14</v>
      </c>
      <c r="G473">
        <v>5</v>
      </c>
      <c r="H473">
        <v>0.1</v>
      </c>
      <c r="I473">
        <v>2925</v>
      </c>
      <c r="J473">
        <v>289.88</v>
      </c>
    </row>
    <row r="474" spans="1:10" x14ac:dyDescent="0.25">
      <c r="A474" t="s">
        <v>735</v>
      </c>
      <c r="B474" s="1">
        <v>45801</v>
      </c>
      <c r="C474" t="s">
        <v>189</v>
      </c>
      <c r="D474" t="s">
        <v>12</v>
      </c>
      <c r="E474" t="s">
        <v>13</v>
      </c>
      <c r="F474" t="s">
        <v>21</v>
      </c>
      <c r="G474">
        <v>5</v>
      </c>
      <c r="H474">
        <v>0.15</v>
      </c>
      <c r="I474">
        <v>233.75</v>
      </c>
      <c r="J474">
        <v>61.02</v>
      </c>
    </row>
    <row r="475" spans="1:10" x14ac:dyDescent="0.25">
      <c r="A475" t="s">
        <v>736</v>
      </c>
      <c r="B475" s="1">
        <v>45801</v>
      </c>
      <c r="C475" t="s">
        <v>121</v>
      </c>
      <c r="D475" t="s">
        <v>19</v>
      </c>
      <c r="E475" t="s">
        <v>20</v>
      </c>
      <c r="F475" t="s">
        <v>38</v>
      </c>
      <c r="G475">
        <v>1</v>
      </c>
      <c r="H475">
        <v>0.05</v>
      </c>
      <c r="I475">
        <v>171</v>
      </c>
      <c r="J475">
        <v>46.11</v>
      </c>
    </row>
    <row r="476" spans="1:10" x14ac:dyDescent="0.25">
      <c r="A476" t="s">
        <v>737</v>
      </c>
      <c r="B476" s="1">
        <v>45801</v>
      </c>
      <c r="C476" t="s">
        <v>627</v>
      </c>
      <c r="D476" t="s">
        <v>91</v>
      </c>
      <c r="E476" t="s">
        <v>13</v>
      </c>
      <c r="F476" t="s">
        <v>38</v>
      </c>
      <c r="G476">
        <v>4</v>
      </c>
      <c r="H476">
        <v>0.2</v>
      </c>
      <c r="I476">
        <v>96</v>
      </c>
      <c r="J476">
        <v>11.9</v>
      </c>
    </row>
    <row r="477" spans="1:10" x14ac:dyDescent="0.25">
      <c r="A477" t="s">
        <v>738</v>
      </c>
      <c r="B477" s="1">
        <v>45802</v>
      </c>
      <c r="C477" t="s">
        <v>739</v>
      </c>
      <c r="D477" t="s">
        <v>50</v>
      </c>
      <c r="E477" t="s">
        <v>28</v>
      </c>
      <c r="F477" t="s">
        <v>21</v>
      </c>
      <c r="G477">
        <v>2</v>
      </c>
      <c r="H477">
        <v>0.1</v>
      </c>
      <c r="I477">
        <v>432</v>
      </c>
      <c r="J477">
        <v>69.25</v>
      </c>
    </row>
    <row r="478" spans="1:10" x14ac:dyDescent="0.25">
      <c r="A478" t="s">
        <v>740</v>
      </c>
      <c r="B478" s="1">
        <v>45802</v>
      </c>
      <c r="C478" t="s">
        <v>216</v>
      </c>
      <c r="D478" t="s">
        <v>37</v>
      </c>
      <c r="E478" t="s">
        <v>28</v>
      </c>
      <c r="F478" t="s">
        <v>38</v>
      </c>
      <c r="G478">
        <v>3</v>
      </c>
      <c r="H478">
        <v>0.2</v>
      </c>
      <c r="I478">
        <v>192</v>
      </c>
      <c r="J478">
        <v>13.8</v>
      </c>
    </row>
    <row r="479" spans="1:10" x14ac:dyDescent="0.25">
      <c r="A479" t="s">
        <v>741</v>
      </c>
      <c r="B479" s="1">
        <v>45802</v>
      </c>
      <c r="C479" t="s">
        <v>742</v>
      </c>
      <c r="D479" t="s">
        <v>19</v>
      </c>
      <c r="E479" t="s">
        <v>20</v>
      </c>
      <c r="F479" t="s">
        <v>21</v>
      </c>
      <c r="G479">
        <v>3</v>
      </c>
      <c r="H479">
        <v>0.1</v>
      </c>
      <c r="I479">
        <v>486</v>
      </c>
      <c r="J479">
        <v>93.96</v>
      </c>
    </row>
    <row r="480" spans="1:10" x14ac:dyDescent="0.25">
      <c r="A480" t="s">
        <v>743</v>
      </c>
      <c r="B480" s="1">
        <v>45803</v>
      </c>
      <c r="C480" t="s">
        <v>610</v>
      </c>
      <c r="D480" t="s">
        <v>27</v>
      </c>
      <c r="E480" t="s">
        <v>28</v>
      </c>
      <c r="F480" t="s">
        <v>21</v>
      </c>
      <c r="G480">
        <v>1</v>
      </c>
      <c r="H480">
        <v>0.05</v>
      </c>
      <c r="I480">
        <v>617.5</v>
      </c>
      <c r="J480">
        <v>176.14</v>
      </c>
    </row>
    <row r="481" spans="1:10" x14ac:dyDescent="0.25">
      <c r="A481" t="s">
        <v>744</v>
      </c>
      <c r="B481" s="1">
        <v>45803</v>
      </c>
      <c r="C481" t="s">
        <v>594</v>
      </c>
      <c r="D481" t="s">
        <v>27</v>
      </c>
      <c r="E481" t="s">
        <v>28</v>
      </c>
      <c r="F481" t="s">
        <v>14</v>
      </c>
      <c r="G481">
        <v>1</v>
      </c>
      <c r="H481">
        <v>0.1</v>
      </c>
      <c r="I481">
        <v>585</v>
      </c>
      <c r="J481">
        <v>97.2</v>
      </c>
    </row>
    <row r="482" spans="1:10" x14ac:dyDescent="0.25">
      <c r="A482" t="s">
        <v>745</v>
      </c>
      <c r="B482" s="1">
        <v>45803</v>
      </c>
      <c r="C482" t="s">
        <v>252</v>
      </c>
      <c r="D482" t="s">
        <v>81</v>
      </c>
      <c r="E482" t="s">
        <v>13</v>
      </c>
      <c r="F482" t="s">
        <v>14</v>
      </c>
      <c r="G482">
        <v>3</v>
      </c>
      <c r="H482">
        <v>0.05</v>
      </c>
      <c r="I482">
        <v>128.25</v>
      </c>
      <c r="J482">
        <v>26.38</v>
      </c>
    </row>
    <row r="483" spans="1:10" x14ac:dyDescent="0.25">
      <c r="A483" t="s">
        <v>746</v>
      </c>
      <c r="B483" s="1">
        <v>45804</v>
      </c>
      <c r="C483" t="s">
        <v>341</v>
      </c>
      <c r="D483" t="s">
        <v>81</v>
      </c>
      <c r="E483" t="s">
        <v>13</v>
      </c>
      <c r="F483" t="s">
        <v>38</v>
      </c>
      <c r="G483">
        <v>2</v>
      </c>
      <c r="H483">
        <v>0.1</v>
      </c>
      <c r="I483">
        <v>81</v>
      </c>
      <c r="J483">
        <v>21.13</v>
      </c>
    </row>
    <row r="484" spans="1:10" x14ac:dyDescent="0.25">
      <c r="A484" t="s">
        <v>747</v>
      </c>
      <c r="B484" s="1">
        <v>45804</v>
      </c>
      <c r="C484" t="s">
        <v>748</v>
      </c>
      <c r="D484" t="s">
        <v>32</v>
      </c>
      <c r="E484" t="s">
        <v>28</v>
      </c>
      <c r="F484" t="s">
        <v>29</v>
      </c>
      <c r="G484">
        <v>4</v>
      </c>
      <c r="H484">
        <v>0.1</v>
      </c>
      <c r="I484">
        <v>1800</v>
      </c>
      <c r="J484">
        <v>256.26</v>
      </c>
    </row>
    <row r="485" spans="1:10" x14ac:dyDescent="0.25">
      <c r="A485" t="s">
        <v>749</v>
      </c>
      <c r="B485" s="1">
        <v>45804</v>
      </c>
      <c r="C485" t="s">
        <v>750</v>
      </c>
      <c r="D485" t="s">
        <v>73</v>
      </c>
      <c r="E485" t="s">
        <v>74</v>
      </c>
      <c r="F485" t="s">
        <v>21</v>
      </c>
      <c r="G485">
        <v>3</v>
      </c>
      <c r="H485">
        <v>0.1</v>
      </c>
      <c r="I485">
        <v>21.6</v>
      </c>
      <c r="J485">
        <v>3.33</v>
      </c>
    </row>
    <row r="486" spans="1:10" x14ac:dyDescent="0.25">
      <c r="A486" t="s">
        <v>751</v>
      </c>
      <c r="B486" s="1">
        <v>45804</v>
      </c>
      <c r="C486" t="s">
        <v>752</v>
      </c>
      <c r="D486" t="s">
        <v>91</v>
      </c>
      <c r="E486" t="s">
        <v>13</v>
      </c>
      <c r="F486" t="s">
        <v>14</v>
      </c>
      <c r="G486">
        <v>4</v>
      </c>
      <c r="H486">
        <v>0.05</v>
      </c>
      <c r="I486">
        <v>114</v>
      </c>
      <c r="J486">
        <v>36.18</v>
      </c>
    </row>
    <row r="487" spans="1:10" x14ac:dyDescent="0.25">
      <c r="A487" t="s">
        <v>753</v>
      </c>
      <c r="B487" s="1">
        <v>45805</v>
      </c>
      <c r="C487" t="s">
        <v>200</v>
      </c>
      <c r="D487" t="s">
        <v>27</v>
      </c>
      <c r="E487" t="s">
        <v>28</v>
      </c>
      <c r="F487" t="s">
        <v>38</v>
      </c>
      <c r="G487">
        <v>4</v>
      </c>
      <c r="H487">
        <v>0.05</v>
      </c>
      <c r="I487">
        <v>2470</v>
      </c>
      <c r="J487">
        <v>589.04</v>
      </c>
    </row>
    <row r="488" spans="1:10" x14ac:dyDescent="0.25">
      <c r="A488" t="s">
        <v>754</v>
      </c>
      <c r="B488" s="1">
        <v>45805</v>
      </c>
      <c r="C488" t="s">
        <v>755</v>
      </c>
      <c r="D488" t="s">
        <v>27</v>
      </c>
      <c r="E488" t="s">
        <v>28</v>
      </c>
      <c r="F488" t="s">
        <v>29</v>
      </c>
      <c r="G488">
        <v>1</v>
      </c>
      <c r="H488">
        <v>0.1</v>
      </c>
      <c r="I488">
        <v>585</v>
      </c>
      <c r="J488">
        <v>103.25</v>
      </c>
    </row>
    <row r="489" spans="1:10" x14ac:dyDescent="0.25">
      <c r="A489" t="s">
        <v>756</v>
      </c>
      <c r="B489" s="1">
        <v>45805</v>
      </c>
      <c r="C489" t="s">
        <v>333</v>
      </c>
      <c r="D489" t="s">
        <v>91</v>
      </c>
      <c r="E489" t="s">
        <v>13</v>
      </c>
      <c r="F489" t="s">
        <v>14</v>
      </c>
      <c r="G489">
        <v>4</v>
      </c>
      <c r="H489">
        <v>0.1</v>
      </c>
      <c r="I489">
        <v>108</v>
      </c>
      <c r="J489">
        <v>31.07</v>
      </c>
    </row>
    <row r="490" spans="1:10" x14ac:dyDescent="0.25">
      <c r="A490" t="s">
        <v>757</v>
      </c>
      <c r="B490" s="1">
        <v>45806</v>
      </c>
      <c r="C490" t="s">
        <v>758</v>
      </c>
      <c r="D490" t="s">
        <v>37</v>
      </c>
      <c r="E490" t="s">
        <v>28</v>
      </c>
      <c r="F490" t="s">
        <v>38</v>
      </c>
      <c r="G490">
        <v>5</v>
      </c>
      <c r="H490">
        <v>0</v>
      </c>
      <c r="I490">
        <v>400</v>
      </c>
      <c r="J490">
        <v>73.8</v>
      </c>
    </row>
    <row r="491" spans="1:10" x14ac:dyDescent="0.25">
      <c r="A491" t="s">
        <v>759</v>
      </c>
      <c r="B491" s="1">
        <v>45806</v>
      </c>
      <c r="C491" t="s">
        <v>760</v>
      </c>
      <c r="D491" t="s">
        <v>19</v>
      </c>
      <c r="E491" t="s">
        <v>20</v>
      </c>
      <c r="F491" t="s">
        <v>38</v>
      </c>
      <c r="G491">
        <v>2</v>
      </c>
      <c r="H491">
        <v>0</v>
      </c>
      <c r="I491">
        <v>360</v>
      </c>
      <c r="J491">
        <v>134.57</v>
      </c>
    </row>
    <row r="492" spans="1:10" x14ac:dyDescent="0.25">
      <c r="A492" t="s">
        <v>761</v>
      </c>
      <c r="B492" s="1">
        <v>45806</v>
      </c>
      <c r="C492" t="s">
        <v>214</v>
      </c>
      <c r="D492" t="s">
        <v>37</v>
      </c>
      <c r="E492" t="s">
        <v>28</v>
      </c>
      <c r="F492" t="s">
        <v>14</v>
      </c>
      <c r="G492">
        <v>3</v>
      </c>
      <c r="H492">
        <v>0</v>
      </c>
      <c r="I492">
        <v>240</v>
      </c>
      <c r="J492">
        <v>67.78</v>
      </c>
    </row>
    <row r="493" spans="1:10" x14ac:dyDescent="0.25">
      <c r="A493" t="s">
        <v>762</v>
      </c>
      <c r="B493" s="1">
        <v>45807</v>
      </c>
      <c r="C493" t="s">
        <v>275</v>
      </c>
      <c r="D493" t="s">
        <v>24</v>
      </c>
      <c r="E493" t="s">
        <v>20</v>
      </c>
      <c r="F493" t="s">
        <v>29</v>
      </c>
      <c r="G493">
        <v>2</v>
      </c>
      <c r="H493">
        <v>0.05</v>
      </c>
      <c r="I493">
        <v>418</v>
      </c>
      <c r="J493">
        <v>103.49</v>
      </c>
    </row>
    <row r="494" spans="1:10" x14ac:dyDescent="0.25">
      <c r="A494" t="s">
        <v>763</v>
      </c>
      <c r="B494" s="1">
        <v>45807</v>
      </c>
      <c r="C494" t="s">
        <v>425</v>
      </c>
      <c r="D494" t="s">
        <v>37</v>
      </c>
      <c r="E494" t="s">
        <v>28</v>
      </c>
      <c r="F494" t="s">
        <v>38</v>
      </c>
      <c r="G494">
        <v>4</v>
      </c>
      <c r="H494">
        <v>0.1</v>
      </c>
      <c r="I494">
        <v>288</v>
      </c>
      <c r="J494">
        <v>83.96</v>
      </c>
    </row>
    <row r="495" spans="1:10" x14ac:dyDescent="0.25">
      <c r="A495" t="s">
        <v>764</v>
      </c>
      <c r="B495" s="1">
        <v>45807</v>
      </c>
      <c r="C495" t="s">
        <v>414</v>
      </c>
      <c r="D495" t="s">
        <v>19</v>
      </c>
      <c r="E495" t="s">
        <v>20</v>
      </c>
      <c r="F495" t="s">
        <v>14</v>
      </c>
      <c r="G495">
        <v>1</v>
      </c>
      <c r="H495">
        <v>0.05</v>
      </c>
      <c r="I495">
        <v>171</v>
      </c>
      <c r="J495">
        <v>47.15</v>
      </c>
    </row>
    <row r="496" spans="1:10" x14ac:dyDescent="0.25">
      <c r="A496" t="s">
        <v>765</v>
      </c>
      <c r="B496" s="1">
        <v>45807</v>
      </c>
      <c r="C496" t="s">
        <v>62</v>
      </c>
      <c r="D496" t="s">
        <v>24</v>
      </c>
      <c r="E496" t="s">
        <v>20</v>
      </c>
      <c r="F496" t="s">
        <v>21</v>
      </c>
      <c r="G496">
        <v>1</v>
      </c>
      <c r="H496">
        <v>0.1</v>
      </c>
      <c r="I496">
        <v>198</v>
      </c>
      <c r="J496">
        <v>37.76</v>
      </c>
    </row>
    <row r="497" spans="1:10" x14ac:dyDescent="0.25">
      <c r="A497" t="s">
        <v>766</v>
      </c>
      <c r="B497" s="1">
        <v>45808</v>
      </c>
      <c r="C497" t="s">
        <v>523</v>
      </c>
      <c r="D497" t="s">
        <v>32</v>
      </c>
      <c r="E497" t="s">
        <v>28</v>
      </c>
      <c r="F497" t="s">
        <v>29</v>
      </c>
      <c r="G497">
        <v>2</v>
      </c>
      <c r="H497">
        <v>0</v>
      </c>
      <c r="I497">
        <v>1000</v>
      </c>
      <c r="J497">
        <v>311.51</v>
      </c>
    </row>
    <row r="498" spans="1:10" x14ac:dyDescent="0.25">
      <c r="A498" t="s">
        <v>767</v>
      </c>
      <c r="B498" s="1">
        <v>45808</v>
      </c>
      <c r="C498" t="s">
        <v>348</v>
      </c>
      <c r="D498" t="s">
        <v>12</v>
      </c>
      <c r="E498" t="s">
        <v>13</v>
      </c>
      <c r="F498" t="s">
        <v>14</v>
      </c>
      <c r="G498">
        <v>4</v>
      </c>
      <c r="H498">
        <v>0.05</v>
      </c>
      <c r="I498">
        <v>209</v>
      </c>
      <c r="J498">
        <v>47.06</v>
      </c>
    </row>
    <row r="499" spans="1:10" x14ac:dyDescent="0.25">
      <c r="A499" t="s">
        <v>768</v>
      </c>
      <c r="B499" s="1">
        <v>45808</v>
      </c>
      <c r="C499" t="s">
        <v>263</v>
      </c>
      <c r="D499" t="s">
        <v>32</v>
      </c>
      <c r="E499" t="s">
        <v>28</v>
      </c>
      <c r="F499" t="s">
        <v>38</v>
      </c>
      <c r="G499">
        <v>5</v>
      </c>
      <c r="H499">
        <v>0.1</v>
      </c>
      <c r="I499">
        <v>2250</v>
      </c>
      <c r="J499">
        <v>455.55</v>
      </c>
    </row>
    <row r="500" spans="1:10" x14ac:dyDescent="0.25">
      <c r="A500" t="s">
        <v>769</v>
      </c>
      <c r="B500" s="1">
        <v>45809</v>
      </c>
      <c r="C500" t="s">
        <v>246</v>
      </c>
      <c r="D500" t="s">
        <v>37</v>
      </c>
      <c r="E500" t="s">
        <v>28</v>
      </c>
      <c r="F500" t="s">
        <v>29</v>
      </c>
      <c r="G500">
        <v>1</v>
      </c>
      <c r="H500">
        <v>0.15</v>
      </c>
      <c r="I500">
        <v>68</v>
      </c>
      <c r="J500">
        <v>11.02</v>
      </c>
    </row>
    <row r="501" spans="1:10" x14ac:dyDescent="0.25">
      <c r="A501" t="s">
        <v>770</v>
      </c>
      <c r="B501" s="1">
        <v>45809</v>
      </c>
      <c r="C501" t="s">
        <v>364</v>
      </c>
      <c r="D501" t="s">
        <v>24</v>
      </c>
      <c r="E501" t="s">
        <v>20</v>
      </c>
      <c r="F501" t="s">
        <v>38</v>
      </c>
      <c r="G501">
        <v>1</v>
      </c>
      <c r="H501">
        <v>0.1</v>
      </c>
      <c r="I501">
        <v>198</v>
      </c>
      <c r="J501">
        <v>21.69</v>
      </c>
    </row>
    <row r="502" spans="1:10" x14ac:dyDescent="0.25">
      <c r="A502" t="s">
        <v>771</v>
      </c>
      <c r="B502" s="1">
        <v>45809</v>
      </c>
      <c r="C502" t="s">
        <v>772</v>
      </c>
      <c r="D502" t="s">
        <v>24</v>
      </c>
      <c r="E502" t="s">
        <v>20</v>
      </c>
      <c r="F502" t="s">
        <v>21</v>
      </c>
      <c r="G502">
        <v>2</v>
      </c>
      <c r="H502">
        <v>0.1</v>
      </c>
      <c r="I502">
        <v>396</v>
      </c>
      <c r="J502">
        <v>76.260000000000005</v>
      </c>
    </row>
    <row r="503" spans="1:10" x14ac:dyDescent="0.25">
      <c r="A503" t="s">
        <v>773</v>
      </c>
      <c r="B503" s="1">
        <v>45810</v>
      </c>
      <c r="C503" t="s">
        <v>774</v>
      </c>
      <c r="D503" t="s">
        <v>24</v>
      </c>
      <c r="E503" t="s">
        <v>20</v>
      </c>
      <c r="F503" t="s">
        <v>29</v>
      </c>
      <c r="G503">
        <v>3</v>
      </c>
      <c r="H503">
        <v>0.1</v>
      </c>
      <c r="I503">
        <v>594</v>
      </c>
      <c r="J503">
        <v>177.18</v>
      </c>
    </row>
    <row r="504" spans="1:10" x14ac:dyDescent="0.25">
      <c r="A504" t="s">
        <v>775</v>
      </c>
      <c r="B504" s="1">
        <v>45810</v>
      </c>
      <c r="C504" t="s">
        <v>121</v>
      </c>
      <c r="D504" t="s">
        <v>50</v>
      </c>
      <c r="E504" t="s">
        <v>28</v>
      </c>
      <c r="F504" t="s">
        <v>21</v>
      </c>
      <c r="G504">
        <v>2</v>
      </c>
      <c r="H504">
        <v>0.2</v>
      </c>
      <c r="I504">
        <v>384</v>
      </c>
      <c r="J504">
        <v>72.12</v>
      </c>
    </row>
    <row r="505" spans="1:10" x14ac:dyDescent="0.25">
      <c r="A505" t="s">
        <v>776</v>
      </c>
      <c r="B505" s="1">
        <v>45810</v>
      </c>
      <c r="C505" t="s">
        <v>378</v>
      </c>
      <c r="D505" t="s">
        <v>19</v>
      </c>
      <c r="E505" t="s">
        <v>20</v>
      </c>
      <c r="F505" t="s">
        <v>38</v>
      </c>
      <c r="G505">
        <v>2</v>
      </c>
      <c r="H505">
        <v>0.05</v>
      </c>
      <c r="I505">
        <v>342</v>
      </c>
      <c r="J505">
        <v>81.180000000000007</v>
      </c>
    </row>
    <row r="506" spans="1:10" x14ac:dyDescent="0.25">
      <c r="A506" t="s">
        <v>777</v>
      </c>
      <c r="B506" s="1">
        <v>45811</v>
      </c>
      <c r="C506" t="s">
        <v>360</v>
      </c>
      <c r="D506" t="s">
        <v>50</v>
      </c>
      <c r="E506" t="s">
        <v>28</v>
      </c>
      <c r="F506" t="s">
        <v>21</v>
      </c>
      <c r="G506">
        <v>3</v>
      </c>
      <c r="H506">
        <v>0.1</v>
      </c>
      <c r="I506">
        <v>648</v>
      </c>
      <c r="J506">
        <v>76.959999999999994</v>
      </c>
    </row>
    <row r="507" spans="1:10" x14ac:dyDescent="0.25">
      <c r="A507" t="s">
        <v>778</v>
      </c>
      <c r="B507" s="1">
        <v>45811</v>
      </c>
      <c r="C507" t="s">
        <v>779</v>
      </c>
      <c r="D507" t="s">
        <v>32</v>
      </c>
      <c r="E507" t="s">
        <v>28</v>
      </c>
      <c r="F507" t="s">
        <v>14</v>
      </c>
      <c r="G507">
        <v>4</v>
      </c>
      <c r="H507">
        <v>0.15</v>
      </c>
      <c r="I507">
        <v>1700</v>
      </c>
      <c r="J507">
        <v>269.41000000000003</v>
      </c>
    </row>
    <row r="508" spans="1:10" x14ac:dyDescent="0.25">
      <c r="A508" t="s">
        <v>780</v>
      </c>
      <c r="B508" s="1">
        <v>45811</v>
      </c>
      <c r="C508" t="s">
        <v>121</v>
      </c>
      <c r="D508" t="s">
        <v>27</v>
      </c>
      <c r="E508" t="s">
        <v>28</v>
      </c>
      <c r="F508" t="s">
        <v>38</v>
      </c>
      <c r="G508">
        <v>1</v>
      </c>
      <c r="H508">
        <v>0.15</v>
      </c>
      <c r="I508">
        <v>552.5</v>
      </c>
      <c r="J508">
        <v>33.4</v>
      </c>
    </row>
    <row r="509" spans="1:10" x14ac:dyDescent="0.25">
      <c r="A509" t="s">
        <v>781</v>
      </c>
      <c r="B509" s="1">
        <v>45811</v>
      </c>
      <c r="C509" t="s">
        <v>11</v>
      </c>
      <c r="D509" t="s">
        <v>81</v>
      </c>
      <c r="E509" t="s">
        <v>13</v>
      </c>
      <c r="F509" t="s">
        <v>38</v>
      </c>
      <c r="G509">
        <v>3</v>
      </c>
      <c r="H509">
        <v>0.05</v>
      </c>
      <c r="I509">
        <v>128.25</v>
      </c>
      <c r="J509">
        <v>30.77</v>
      </c>
    </row>
    <row r="510" spans="1:10" x14ac:dyDescent="0.25">
      <c r="A510" t="s">
        <v>782</v>
      </c>
      <c r="B510" s="1">
        <v>45812</v>
      </c>
      <c r="C510" t="s">
        <v>314</v>
      </c>
      <c r="D510" t="s">
        <v>12</v>
      </c>
      <c r="E510" t="s">
        <v>13</v>
      </c>
      <c r="F510" t="s">
        <v>38</v>
      </c>
      <c r="G510">
        <v>2</v>
      </c>
      <c r="H510">
        <v>0.05</v>
      </c>
      <c r="I510">
        <v>104.5</v>
      </c>
      <c r="J510">
        <v>21.17</v>
      </c>
    </row>
    <row r="511" spans="1:10" x14ac:dyDescent="0.25">
      <c r="A511" t="s">
        <v>783</v>
      </c>
      <c r="B511" s="1">
        <v>45812</v>
      </c>
      <c r="C511" t="s">
        <v>439</v>
      </c>
      <c r="D511" t="s">
        <v>81</v>
      </c>
      <c r="E511" t="s">
        <v>13</v>
      </c>
      <c r="F511" t="s">
        <v>21</v>
      </c>
      <c r="G511">
        <v>2</v>
      </c>
      <c r="H511">
        <v>0</v>
      </c>
      <c r="I511">
        <v>90</v>
      </c>
      <c r="J511">
        <v>28.81</v>
      </c>
    </row>
    <row r="512" spans="1:10" x14ac:dyDescent="0.25">
      <c r="A512" t="s">
        <v>784</v>
      </c>
      <c r="B512" s="1">
        <v>45812</v>
      </c>
      <c r="C512" t="s">
        <v>785</v>
      </c>
      <c r="D512" t="s">
        <v>50</v>
      </c>
      <c r="E512" t="s">
        <v>28</v>
      </c>
      <c r="F512" t="s">
        <v>38</v>
      </c>
      <c r="G512">
        <v>3</v>
      </c>
      <c r="H512">
        <v>0</v>
      </c>
      <c r="I512">
        <v>720</v>
      </c>
      <c r="J512">
        <v>135.72999999999999</v>
      </c>
    </row>
    <row r="513" spans="1:10" x14ac:dyDescent="0.25">
      <c r="A513" t="s">
        <v>786</v>
      </c>
      <c r="B513" s="1">
        <v>45813</v>
      </c>
      <c r="C513" t="s">
        <v>787</v>
      </c>
      <c r="D513" t="s">
        <v>37</v>
      </c>
      <c r="E513" t="s">
        <v>28</v>
      </c>
      <c r="F513" t="s">
        <v>38</v>
      </c>
      <c r="G513">
        <v>2</v>
      </c>
      <c r="H513">
        <v>0.15</v>
      </c>
      <c r="I513">
        <v>136</v>
      </c>
      <c r="J513">
        <v>27.37</v>
      </c>
    </row>
    <row r="514" spans="1:10" x14ac:dyDescent="0.25">
      <c r="A514" t="s">
        <v>788</v>
      </c>
      <c r="B514" s="1">
        <v>45813</v>
      </c>
      <c r="C514" t="s">
        <v>421</v>
      </c>
      <c r="D514" t="s">
        <v>27</v>
      </c>
      <c r="E514" t="s">
        <v>28</v>
      </c>
      <c r="F514" t="s">
        <v>14</v>
      </c>
      <c r="G514">
        <v>4</v>
      </c>
      <c r="H514">
        <v>0.15</v>
      </c>
      <c r="I514">
        <v>2210</v>
      </c>
      <c r="J514">
        <v>212.95</v>
      </c>
    </row>
    <row r="515" spans="1:10" x14ac:dyDescent="0.25">
      <c r="A515" t="s">
        <v>789</v>
      </c>
      <c r="B515" s="1">
        <v>45813</v>
      </c>
      <c r="C515" t="s">
        <v>160</v>
      </c>
      <c r="D515" t="s">
        <v>91</v>
      </c>
      <c r="E515" t="s">
        <v>13</v>
      </c>
      <c r="F515" t="s">
        <v>29</v>
      </c>
      <c r="G515">
        <v>5</v>
      </c>
      <c r="H515">
        <v>0.15</v>
      </c>
      <c r="I515">
        <v>127.5</v>
      </c>
      <c r="J515">
        <v>10.220000000000001</v>
      </c>
    </row>
    <row r="516" spans="1:10" x14ac:dyDescent="0.25">
      <c r="A516" t="s">
        <v>790</v>
      </c>
      <c r="B516" s="1">
        <v>45814</v>
      </c>
      <c r="C516" t="s">
        <v>149</v>
      </c>
      <c r="D516" t="s">
        <v>32</v>
      </c>
      <c r="E516" t="s">
        <v>28</v>
      </c>
      <c r="F516" t="s">
        <v>21</v>
      </c>
      <c r="G516">
        <v>2</v>
      </c>
      <c r="H516">
        <v>0</v>
      </c>
      <c r="I516">
        <v>1000</v>
      </c>
      <c r="J516">
        <v>300.18</v>
      </c>
    </row>
    <row r="517" spans="1:10" x14ac:dyDescent="0.25">
      <c r="A517" t="s">
        <v>791</v>
      </c>
      <c r="B517" s="1">
        <v>45814</v>
      </c>
      <c r="C517" t="s">
        <v>26</v>
      </c>
      <c r="D517" t="s">
        <v>19</v>
      </c>
      <c r="E517" t="s">
        <v>20</v>
      </c>
      <c r="F517" t="s">
        <v>14</v>
      </c>
      <c r="G517">
        <v>3</v>
      </c>
      <c r="H517">
        <v>0.05</v>
      </c>
      <c r="I517">
        <v>513</v>
      </c>
      <c r="J517">
        <v>166.21</v>
      </c>
    </row>
    <row r="518" spans="1:10" x14ac:dyDescent="0.25">
      <c r="A518" t="s">
        <v>792</v>
      </c>
      <c r="B518" s="1">
        <v>45814</v>
      </c>
      <c r="C518" t="s">
        <v>716</v>
      </c>
      <c r="D518" t="s">
        <v>37</v>
      </c>
      <c r="E518" t="s">
        <v>28</v>
      </c>
      <c r="F518" t="s">
        <v>21</v>
      </c>
      <c r="G518">
        <v>5</v>
      </c>
      <c r="H518">
        <v>0.2</v>
      </c>
      <c r="I518">
        <v>320</v>
      </c>
      <c r="J518">
        <v>30.19</v>
      </c>
    </row>
    <row r="519" spans="1:10" x14ac:dyDescent="0.25">
      <c r="A519" t="s">
        <v>793</v>
      </c>
      <c r="B519" s="1">
        <v>45814</v>
      </c>
      <c r="C519" t="s">
        <v>184</v>
      </c>
      <c r="D519" t="s">
        <v>91</v>
      </c>
      <c r="E519" t="s">
        <v>13</v>
      </c>
      <c r="F519" t="s">
        <v>21</v>
      </c>
      <c r="G519">
        <v>1</v>
      </c>
      <c r="H519">
        <v>0.1</v>
      </c>
      <c r="I519">
        <v>27</v>
      </c>
      <c r="J519">
        <v>3.63</v>
      </c>
    </row>
    <row r="520" spans="1:10" x14ac:dyDescent="0.25">
      <c r="A520" t="s">
        <v>794</v>
      </c>
      <c r="B520" s="1">
        <v>45815</v>
      </c>
      <c r="C520" t="s">
        <v>149</v>
      </c>
      <c r="D520" t="s">
        <v>37</v>
      </c>
      <c r="E520" t="s">
        <v>28</v>
      </c>
      <c r="F520" t="s">
        <v>38</v>
      </c>
      <c r="G520">
        <v>2</v>
      </c>
      <c r="H520">
        <v>0.1</v>
      </c>
      <c r="I520">
        <v>144</v>
      </c>
      <c r="J520">
        <v>23.46</v>
      </c>
    </row>
    <row r="521" spans="1:10" x14ac:dyDescent="0.25">
      <c r="A521" t="s">
        <v>795</v>
      </c>
      <c r="B521" s="1">
        <v>45815</v>
      </c>
      <c r="C521" t="s">
        <v>297</v>
      </c>
      <c r="D521" t="s">
        <v>32</v>
      </c>
      <c r="E521" t="s">
        <v>28</v>
      </c>
      <c r="F521" t="s">
        <v>14</v>
      </c>
      <c r="G521">
        <v>3</v>
      </c>
      <c r="H521">
        <v>0</v>
      </c>
      <c r="I521">
        <v>1500</v>
      </c>
      <c r="J521">
        <v>395.02</v>
      </c>
    </row>
    <row r="522" spans="1:10" x14ac:dyDescent="0.25">
      <c r="A522" t="s">
        <v>796</v>
      </c>
      <c r="B522" s="1">
        <v>45815</v>
      </c>
      <c r="C522" t="s">
        <v>141</v>
      </c>
      <c r="D522" t="s">
        <v>27</v>
      </c>
      <c r="E522" t="s">
        <v>28</v>
      </c>
      <c r="F522" t="s">
        <v>38</v>
      </c>
      <c r="G522">
        <v>1</v>
      </c>
      <c r="H522">
        <v>0</v>
      </c>
      <c r="I522">
        <v>650</v>
      </c>
      <c r="J522">
        <v>242.62</v>
      </c>
    </row>
    <row r="523" spans="1:10" x14ac:dyDescent="0.25">
      <c r="A523" t="s">
        <v>797</v>
      </c>
      <c r="B523" s="1">
        <v>45816</v>
      </c>
      <c r="C523" t="s">
        <v>748</v>
      </c>
      <c r="D523" t="s">
        <v>50</v>
      </c>
      <c r="E523" t="s">
        <v>28</v>
      </c>
      <c r="F523" t="s">
        <v>29</v>
      </c>
      <c r="G523">
        <v>1</v>
      </c>
      <c r="H523">
        <v>0</v>
      </c>
      <c r="I523">
        <v>240</v>
      </c>
      <c r="J523">
        <v>48.54</v>
      </c>
    </row>
    <row r="524" spans="1:10" x14ac:dyDescent="0.25">
      <c r="A524" t="s">
        <v>798</v>
      </c>
      <c r="B524" s="1">
        <v>45816</v>
      </c>
      <c r="C524" t="s">
        <v>95</v>
      </c>
      <c r="D524" t="s">
        <v>73</v>
      </c>
      <c r="E524" t="s">
        <v>74</v>
      </c>
      <c r="F524" t="s">
        <v>29</v>
      </c>
      <c r="G524">
        <v>2</v>
      </c>
      <c r="H524">
        <v>0.15</v>
      </c>
      <c r="I524">
        <v>13.6</v>
      </c>
      <c r="J524">
        <v>1.91</v>
      </c>
    </row>
    <row r="525" spans="1:10" x14ac:dyDescent="0.25">
      <c r="A525" t="s">
        <v>799</v>
      </c>
      <c r="B525" s="1">
        <v>45816</v>
      </c>
      <c r="C525" t="s">
        <v>117</v>
      </c>
      <c r="D525" t="s">
        <v>37</v>
      </c>
      <c r="E525" t="s">
        <v>28</v>
      </c>
      <c r="F525" t="s">
        <v>21</v>
      </c>
      <c r="G525">
        <v>2</v>
      </c>
      <c r="H525">
        <v>0.1</v>
      </c>
      <c r="I525">
        <v>144</v>
      </c>
      <c r="J525">
        <v>18.48</v>
      </c>
    </row>
    <row r="526" spans="1:10" x14ac:dyDescent="0.25">
      <c r="A526" t="s">
        <v>800</v>
      </c>
      <c r="B526" s="1">
        <v>45817</v>
      </c>
      <c r="C526" t="s">
        <v>212</v>
      </c>
      <c r="D526" t="s">
        <v>19</v>
      </c>
      <c r="E526" t="s">
        <v>20</v>
      </c>
      <c r="F526" t="s">
        <v>38</v>
      </c>
      <c r="G526">
        <v>5</v>
      </c>
      <c r="H526">
        <v>0.2</v>
      </c>
      <c r="I526">
        <v>720</v>
      </c>
      <c r="J526">
        <v>32.28</v>
      </c>
    </row>
    <row r="527" spans="1:10" x14ac:dyDescent="0.25">
      <c r="A527" t="s">
        <v>801</v>
      </c>
      <c r="B527" s="1">
        <v>45817</v>
      </c>
      <c r="C527" t="s">
        <v>439</v>
      </c>
      <c r="D527" t="s">
        <v>37</v>
      </c>
      <c r="E527" t="s">
        <v>28</v>
      </c>
      <c r="F527" t="s">
        <v>14</v>
      </c>
      <c r="G527">
        <v>2</v>
      </c>
      <c r="H527">
        <v>0.15</v>
      </c>
      <c r="I527">
        <v>136</v>
      </c>
      <c r="J527">
        <v>13.7</v>
      </c>
    </row>
    <row r="528" spans="1:10" x14ac:dyDescent="0.25">
      <c r="A528" t="s">
        <v>802</v>
      </c>
      <c r="B528" s="1">
        <v>45817</v>
      </c>
      <c r="C528" t="s">
        <v>177</v>
      </c>
      <c r="D528" t="s">
        <v>50</v>
      </c>
      <c r="E528" t="s">
        <v>28</v>
      </c>
      <c r="F528" t="s">
        <v>21</v>
      </c>
      <c r="G528">
        <v>1</v>
      </c>
      <c r="H528">
        <v>0.1</v>
      </c>
      <c r="I528">
        <v>216</v>
      </c>
      <c r="J528">
        <v>64.95</v>
      </c>
    </row>
    <row r="529" spans="1:10" x14ac:dyDescent="0.25">
      <c r="A529" t="s">
        <v>803</v>
      </c>
      <c r="B529" s="1">
        <v>45817</v>
      </c>
      <c r="C529" t="s">
        <v>306</v>
      </c>
      <c r="D529" t="s">
        <v>81</v>
      </c>
      <c r="E529" t="s">
        <v>13</v>
      </c>
      <c r="F529" t="s">
        <v>29</v>
      </c>
      <c r="G529">
        <v>1</v>
      </c>
      <c r="H529">
        <v>0</v>
      </c>
      <c r="I529">
        <v>45</v>
      </c>
      <c r="J529">
        <v>9.5500000000000007</v>
      </c>
    </row>
    <row r="530" spans="1:10" x14ac:dyDescent="0.25">
      <c r="A530" t="s">
        <v>804</v>
      </c>
      <c r="B530" s="1">
        <v>45818</v>
      </c>
      <c r="C530" t="s">
        <v>44</v>
      </c>
      <c r="D530" t="s">
        <v>50</v>
      </c>
      <c r="E530" t="s">
        <v>28</v>
      </c>
      <c r="F530" t="s">
        <v>29</v>
      </c>
      <c r="G530">
        <v>1</v>
      </c>
      <c r="H530">
        <v>0</v>
      </c>
      <c r="I530">
        <v>240</v>
      </c>
      <c r="J530">
        <v>64.08</v>
      </c>
    </row>
    <row r="531" spans="1:10" x14ac:dyDescent="0.25">
      <c r="A531" t="s">
        <v>805</v>
      </c>
      <c r="B531" s="1">
        <v>45818</v>
      </c>
      <c r="C531" t="s">
        <v>806</v>
      </c>
      <c r="D531" t="s">
        <v>19</v>
      </c>
      <c r="E531" t="s">
        <v>20</v>
      </c>
      <c r="F531" t="s">
        <v>14</v>
      </c>
      <c r="G531">
        <v>4</v>
      </c>
      <c r="H531">
        <v>0.2</v>
      </c>
      <c r="I531">
        <v>576</v>
      </c>
      <c r="J531">
        <v>-6.19</v>
      </c>
    </row>
    <row r="532" spans="1:10" x14ac:dyDescent="0.25">
      <c r="A532" t="s">
        <v>807</v>
      </c>
      <c r="B532" s="1">
        <v>45818</v>
      </c>
      <c r="C532" t="s">
        <v>86</v>
      </c>
      <c r="D532" t="s">
        <v>81</v>
      </c>
      <c r="E532" t="s">
        <v>13</v>
      </c>
      <c r="F532" t="s">
        <v>14</v>
      </c>
      <c r="G532">
        <v>4</v>
      </c>
      <c r="H532">
        <v>0.1</v>
      </c>
      <c r="I532">
        <v>162</v>
      </c>
      <c r="J532">
        <v>46.22</v>
      </c>
    </row>
    <row r="533" spans="1:10" x14ac:dyDescent="0.25">
      <c r="A533" t="s">
        <v>808</v>
      </c>
      <c r="B533" s="1">
        <v>45819</v>
      </c>
      <c r="C533" t="s">
        <v>493</v>
      </c>
      <c r="D533" t="s">
        <v>27</v>
      </c>
      <c r="E533" t="s">
        <v>28</v>
      </c>
      <c r="F533" t="s">
        <v>38</v>
      </c>
      <c r="G533">
        <v>4</v>
      </c>
      <c r="H533">
        <v>0.1</v>
      </c>
      <c r="I533">
        <v>2340</v>
      </c>
      <c r="J533">
        <v>361.99</v>
      </c>
    </row>
    <row r="534" spans="1:10" x14ac:dyDescent="0.25">
      <c r="A534" t="s">
        <v>809</v>
      </c>
      <c r="B534" s="1">
        <v>45819</v>
      </c>
      <c r="C534" t="s">
        <v>476</v>
      </c>
      <c r="D534" t="s">
        <v>24</v>
      </c>
      <c r="E534" t="s">
        <v>20</v>
      </c>
      <c r="F534" t="s">
        <v>29</v>
      </c>
      <c r="G534">
        <v>5</v>
      </c>
      <c r="H534">
        <v>0.15</v>
      </c>
      <c r="I534">
        <v>935</v>
      </c>
      <c r="J534">
        <v>212.78</v>
      </c>
    </row>
    <row r="535" spans="1:10" x14ac:dyDescent="0.25">
      <c r="A535" t="s">
        <v>810</v>
      </c>
      <c r="B535" s="1">
        <v>45819</v>
      </c>
      <c r="C535" t="s">
        <v>523</v>
      </c>
      <c r="D535" t="s">
        <v>27</v>
      </c>
      <c r="E535" t="s">
        <v>28</v>
      </c>
      <c r="F535" t="s">
        <v>29</v>
      </c>
      <c r="G535">
        <v>4</v>
      </c>
      <c r="H535">
        <v>0.1</v>
      </c>
      <c r="I535">
        <v>2340</v>
      </c>
      <c r="J535">
        <v>573.01</v>
      </c>
    </row>
    <row r="536" spans="1:10" x14ac:dyDescent="0.25">
      <c r="A536" t="s">
        <v>811</v>
      </c>
      <c r="B536" s="1">
        <v>45820</v>
      </c>
      <c r="C536" t="s">
        <v>285</v>
      </c>
      <c r="D536" t="s">
        <v>32</v>
      </c>
      <c r="E536" t="s">
        <v>28</v>
      </c>
      <c r="F536" t="s">
        <v>21</v>
      </c>
      <c r="G536">
        <v>3</v>
      </c>
      <c r="H536">
        <v>0.1</v>
      </c>
      <c r="I536">
        <v>1350</v>
      </c>
      <c r="J536">
        <v>405.54</v>
      </c>
    </row>
    <row r="537" spans="1:10" x14ac:dyDescent="0.25">
      <c r="A537" t="s">
        <v>812</v>
      </c>
      <c r="B537" s="1">
        <v>45820</v>
      </c>
      <c r="C537" t="s">
        <v>189</v>
      </c>
      <c r="D537" t="s">
        <v>12</v>
      </c>
      <c r="E537" t="s">
        <v>13</v>
      </c>
      <c r="F537" t="s">
        <v>29</v>
      </c>
      <c r="G537">
        <v>4</v>
      </c>
      <c r="H537">
        <v>0.15</v>
      </c>
      <c r="I537">
        <v>187</v>
      </c>
      <c r="J537">
        <v>29.66</v>
      </c>
    </row>
    <row r="538" spans="1:10" x14ac:dyDescent="0.25">
      <c r="A538" t="s">
        <v>813</v>
      </c>
      <c r="B538" s="1">
        <v>45820</v>
      </c>
      <c r="C538" t="s">
        <v>66</v>
      </c>
      <c r="D538" t="s">
        <v>32</v>
      </c>
      <c r="E538" t="s">
        <v>28</v>
      </c>
      <c r="F538" t="s">
        <v>21</v>
      </c>
      <c r="G538">
        <v>4</v>
      </c>
      <c r="H538">
        <v>0</v>
      </c>
      <c r="I538">
        <v>2000</v>
      </c>
      <c r="J538">
        <v>416.42</v>
      </c>
    </row>
    <row r="539" spans="1:10" x14ac:dyDescent="0.25">
      <c r="A539" t="s">
        <v>814</v>
      </c>
      <c r="B539" s="1">
        <v>45821</v>
      </c>
      <c r="C539" t="s">
        <v>289</v>
      </c>
      <c r="D539" t="s">
        <v>24</v>
      </c>
      <c r="E539" t="s">
        <v>20</v>
      </c>
      <c r="F539" t="s">
        <v>14</v>
      </c>
      <c r="G539">
        <v>5</v>
      </c>
      <c r="H539">
        <v>0.05</v>
      </c>
      <c r="I539">
        <v>1045</v>
      </c>
      <c r="J539">
        <v>204.68</v>
      </c>
    </row>
    <row r="540" spans="1:10" x14ac:dyDescent="0.25">
      <c r="A540" t="s">
        <v>815</v>
      </c>
      <c r="B540" s="1">
        <v>45821</v>
      </c>
      <c r="C540" t="s">
        <v>158</v>
      </c>
      <c r="D540" t="s">
        <v>81</v>
      </c>
      <c r="E540" t="s">
        <v>13</v>
      </c>
      <c r="F540" t="s">
        <v>14</v>
      </c>
      <c r="G540">
        <v>3</v>
      </c>
      <c r="H540">
        <v>0.1</v>
      </c>
      <c r="I540">
        <v>121.5</v>
      </c>
      <c r="J540">
        <v>20.309999999999999</v>
      </c>
    </row>
    <row r="541" spans="1:10" x14ac:dyDescent="0.25">
      <c r="A541" t="s">
        <v>816</v>
      </c>
      <c r="B541" s="1">
        <v>45821</v>
      </c>
      <c r="C541" t="s">
        <v>135</v>
      </c>
      <c r="D541" t="s">
        <v>12</v>
      </c>
      <c r="E541" t="s">
        <v>13</v>
      </c>
      <c r="F541" t="s">
        <v>38</v>
      </c>
      <c r="G541">
        <v>5</v>
      </c>
      <c r="H541">
        <v>0</v>
      </c>
      <c r="I541">
        <v>275</v>
      </c>
      <c r="J541">
        <v>82.79</v>
      </c>
    </row>
    <row r="542" spans="1:10" x14ac:dyDescent="0.25">
      <c r="A542" t="s">
        <v>817</v>
      </c>
      <c r="B542" s="1">
        <v>45821</v>
      </c>
      <c r="C542" t="s">
        <v>206</v>
      </c>
      <c r="D542" t="s">
        <v>19</v>
      </c>
      <c r="E542" t="s">
        <v>20</v>
      </c>
      <c r="F542" t="s">
        <v>29</v>
      </c>
      <c r="G542">
        <v>2</v>
      </c>
      <c r="H542">
        <v>0.1</v>
      </c>
      <c r="I542">
        <v>324</v>
      </c>
      <c r="J542">
        <v>30.63</v>
      </c>
    </row>
    <row r="543" spans="1:10" x14ac:dyDescent="0.25">
      <c r="A543" t="s">
        <v>818</v>
      </c>
      <c r="B543" s="1">
        <v>45822</v>
      </c>
      <c r="C543" t="s">
        <v>208</v>
      </c>
      <c r="D543" t="s">
        <v>91</v>
      </c>
      <c r="E543" t="s">
        <v>13</v>
      </c>
      <c r="F543" t="s">
        <v>14</v>
      </c>
      <c r="G543">
        <v>1</v>
      </c>
      <c r="H543">
        <v>0.15</v>
      </c>
      <c r="I543">
        <v>25.5</v>
      </c>
      <c r="J543">
        <v>5.18</v>
      </c>
    </row>
    <row r="544" spans="1:10" x14ac:dyDescent="0.25">
      <c r="A544" t="s">
        <v>819</v>
      </c>
      <c r="B544" s="1">
        <v>45822</v>
      </c>
      <c r="C544" t="s">
        <v>70</v>
      </c>
      <c r="D544" t="s">
        <v>50</v>
      </c>
      <c r="E544" t="s">
        <v>28</v>
      </c>
      <c r="F544" t="s">
        <v>38</v>
      </c>
      <c r="G544">
        <v>1</v>
      </c>
      <c r="H544">
        <v>0</v>
      </c>
      <c r="I544">
        <v>240</v>
      </c>
      <c r="J544">
        <v>66.44</v>
      </c>
    </row>
    <row r="545" spans="1:10" x14ac:dyDescent="0.25">
      <c r="A545" t="s">
        <v>820</v>
      </c>
      <c r="B545" s="1">
        <v>45822</v>
      </c>
      <c r="C545" t="s">
        <v>348</v>
      </c>
      <c r="D545" t="s">
        <v>24</v>
      </c>
      <c r="E545" t="s">
        <v>20</v>
      </c>
      <c r="F545" t="s">
        <v>21</v>
      </c>
      <c r="G545">
        <v>2</v>
      </c>
      <c r="H545">
        <v>0</v>
      </c>
      <c r="I545">
        <v>440</v>
      </c>
      <c r="J545">
        <v>133.84</v>
      </c>
    </row>
    <row r="546" spans="1:10" x14ac:dyDescent="0.25">
      <c r="A546" t="s">
        <v>821</v>
      </c>
      <c r="B546" s="1">
        <v>45823</v>
      </c>
      <c r="C546" t="s">
        <v>467</v>
      </c>
      <c r="D546" t="s">
        <v>81</v>
      </c>
      <c r="E546" t="s">
        <v>13</v>
      </c>
      <c r="F546" t="s">
        <v>21</v>
      </c>
      <c r="G546">
        <v>1</v>
      </c>
      <c r="H546">
        <v>0</v>
      </c>
      <c r="I546">
        <v>45</v>
      </c>
      <c r="J546">
        <v>13.38</v>
      </c>
    </row>
    <row r="547" spans="1:10" x14ac:dyDescent="0.25">
      <c r="A547" t="s">
        <v>822</v>
      </c>
      <c r="B547" s="1">
        <v>45823</v>
      </c>
      <c r="C547" t="s">
        <v>314</v>
      </c>
      <c r="D547" t="s">
        <v>27</v>
      </c>
      <c r="E547" t="s">
        <v>28</v>
      </c>
      <c r="F547" t="s">
        <v>14</v>
      </c>
      <c r="G547">
        <v>4</v>
      </c>
      <c r="H547">
        <v>0.1</v>
      </c>
      <c r="I547">
        <v>2340</v>
      </c>
      <c r="J547">
        <v>722.84</v>
      </c>
    </row>
    <row r="548" spans="1:10" x14ac:dyDescent="0.25">
      <c r="A548" t="s">
        <v>823</v>
      </c>
      <c r="B548" s="1">
        <v>45823</v>
      </c>
      <c r="C548" t="s">
        <v>631</v>
      </c>
      <c r="D548" t="s">
        <v>19</v>
      </c>
      <c r="E548" t="s">
        <v>20</v>
      </c>
      <c r="F548" t="s">
        <v>29</v>
      </c>
      <c r="G548">
        <v>2</v>
      </c>
      <c r="H548">
        <v>0.1</v>
      </c>
      <c r="I548">
        <v>324</v>
      </c>
      <c r="J548">
        <v>52.02</v>
      </c>
    </row>
    <row r="549" spans="1:10" x14ac:dyDescent="0.25">
      <c r="A549" t="s">
        <v>824</v>
      </c>
      <c r="B549" s="1">
        <v>45824</v>
      </c>
      <c r="C549" t="s">
        <v>125</v>
      </c>
      <c r="D549" t="s">
        <v>27</v>
      </c>
      <c r="E549" t="s">
        <v>28</v>
      </c>
      <c r="F549" t="s">
        <v>21</v>
      </c>
      <c r="G549">
        <v>4</v>
      </c>
      <c r="H549">
        <v>0.2</v>
      </c>
      <c r="I549">
        <v>2080</v>
      </c>
      <c r="J549">
        <v>402.71</v>
      </c>
    </row>
    <row r="550" spans="1:10" x14ac:dyDescent="0.25">
      <c r="A550" t="s">
        <v>825</v>
      </c>
      <c r="B550" s="1">
        <v>45824</v>
      </c>
      <c r="C550" t="s">
        <v>84</v>
      </c>
      <c r="D550" t="s">
        <v>50</v>
      </c>
      <c r="E550" t="s">
        <v>28</v>
      </c>
      <c r="F550" t="s">
        <v>14</v>
      </c>
      <c r="G550">
        <v>2</v>
      </c>
      <c r="H550">
        <v>0</v>
      </c>
      <c r="I550">
        <v>480</v>
      </c>
      <c r="J550">
        <v>140.59</v>
      </c>
    </row>
    <row r="551" spans="1:10" x14ac:dyDescent="0.25">
      <c r="A551" t="s">
        <v>826</v>
      </c>
      <c r="B551" s="1">
        <v>45824</v>
      </c>
      <c r="C551" t="s">
        <v>200</v>
      </c>
      <c r="D551" t="s">
        <v>50</v>
      </c>
      <c r="E551" t="s">
        <v>28</v>
      </c>
      <c r="F551" t="s">
        <v>29</v>
      </c>
      <c r="G551">
        <v>1</v>
      </c>
      <c r="H551">
        <v>0.1</v>
      </c>
      <c r="I551">
        <v>216</v>
      </c>
      <c r="J551">
        <v>56.48</v>
      </c>
    </row>
    <row r="552" spans="1:10" x14ac:dyDescent="0.25">
      <c r="A552" t="s">
        <v>827</v>
      </c>
      <c r="B552" s="1">
        <v>45824</v>
      </c>
      <c r="C552" t="s">
        <v>575</v>
      </c>
      <c r="D552" t="s">
        <v>24</v>
      </c>
      <c r="E552" t="s">
        <v>20</v>
      </c>
      <c r="F552" t="s">
        <v>38</v>
      </c>
      <c r="G552">
        <v>4</v>
      </c>
      <c r="H552">
        <v>0.1</v>
      </c>
      <c r="I552">
        <v>792</v>
      </c>
      <c r="J552">
        <v>91.65</v>
      </c>
    </row>
    <row r="553" spans="1:10" x14ac:dyDescent="0.25">
      <c r="A553" t="s">
        <v>828</v>
      </c>
      <c r="B553" s="1">
        <v>45825</v>
      </c>
      <c r="C553" t="s">
        <v>829</v>
      </c>
      <c r="D553" t="s">
        <v>91</v>
      </c>
      <c r="E553" t="s">
        <v>13</v>
      </c>
      <c r="F553" t="s">
        <v>21</v>
      </c>
      <c r="G553">
        <v>1</v>
      </c>
      <c r="H553">
        <v>0.1</v>
      </c>
      <c r="I553">
        <v>27</v>
      </c>
      <c r="J553">
        <v>6.65</v>
      </c>
    </row>
    <row r="554" spans="1:10" x14ac:dyDescent="0.25">
      <c r="A554" t="s">
        <v>830</v>
      </c>
      <c r="B554" s="1">
        <v>45825</v>
      </c>
      <c r="C554" t="s">
        <v>268</v>
      </c>
      <c r="D554" t="s">
        <v>19</v>
      </c>
      <c r="E554" t="s">
        <v>20</v>
      </c>
      <c r="F554" t="s">
        <v>29</v>
      </c>
      <c r="G554">
        <v>3</v>
      </c>
      <c r="H554">
        <v>0.1</v>
      </c>
      <c r="I554">
        <v>486</v>
      </c>
      <c r="J554">
        <v>49.96</v>
      </c>
    </row>
    <row r="555" spans="1:10" x14ac:dyDescent="0.25">
      <c r="A555" t="s">
        <v>831</v>
      </c>
      <c r="B555" s="1">
        <v>45825</v>
      </c>
      <c r="C555" t="s">
        <v>631</v>
      </c>
      <c r="D555" t="s">
        <v>12</v>
      </c>
      <c r="E555" t="s">
        <v>13</v>
      </c>
      <c r="F555" t="s">
        <v>14</v>
      </c>
      <c r="G555">
        <v>4</v>
      </c>
      <c r="H555">
        <v>0</v>
      </c>
      <c r="I555">
        <v>220</v>
      </c>
      <c r="J555">
        <v>41.46</v>
      </c>
    </row>
    <row r="556" spans="1:10" x14ac:dyDescent="0.25">
      <c r="A556" t="s">
        <v>832</v>
      </c>
      <c r="B556" s="1">
        <v>45826</v>
      </c>
      <c r="C556" t="s">
        <v>216</v>
      </c>
      <c r="D556" t="s">
        <v>91</v>
      </c>
      <c r="E556" t="s">
        <v>13</v>
      </c>
      <c r="F556" t="s">
        <v>21</v>
      </c>
      <c r="G556">
        <v>4</v>
      </c>
      <c r="H556">
        <v>0.1</v>
      </c>
      <c r="I556">
        <v>108</v>
      </c>
      <c r="J556">
        <v>10.49</v>
      </c>
    </row>
    <row r="557" spans="1:10" x14ac:dyDescent="0.25">
      <c r="A557" t="s">
        <v>833</v>
      </c>
      <c r="B557" s="1">
        <v>45826</v>
      </c>
      <c r="C557" t="s">
        <v>381</v>
      </c>
      <c r="D557" t="s">
        <v>50</v>
      </c>
      <c r="E557" t="s">
        <v>28</v>
      </c>
      <c r="F557" t="s">
        <v>14</v>
      </c>
      <c r="G557">
        <v>1</v>
      </c>
      <c r="H557">
        <v>0</v>
      </c>
      <c r="I557">
        <v>240</v>
      </c>
      <c r="J557">
        <v>81.8</v>
      </c>
    </row>
    <row r="558" spans="1:10" x14ac:dyDescent="0.25">
      <c r="A558" t="s">
        <v>834</v>
      </c>
      <c r="B558" s="1">
        <v>45826</v>
      </c>
      <c r="C558" t="s">
        <v>125</v>
      </c>
      <c r="D558" t="s">
        <v>73</v>
      </c>
      <c r="E558" t="s">
        <v>74</v>
      </c>
      <c r="F558" t="s">
        <v>29</v>
      </c>
      <c r="G558">
        <v>3</v>
      </c>
      <c r="H558">
        <v>0.1</v>
      </c>
      <c r="I558">
        <v>21.6</v>
      </c>
      <c r="J558">
        <v>6.01</v>
      </c>
    </row>
    <row r="559" spans="1:10" x14ac:dyDescent="0.25">
      <c r="A559" t="s">
        <v>835</v>
      </c>
      <c r="B559" s="1">
        <v>45827</v>
      </c>
      <c r="C559" t="s">
        <v>604</v>
      </c>
      <c r="D559" t="s">
        <v>91</v>
      </c>
      <c r="E559" t="s">
        <v>13</v>
      </c>
      <c r="F559" t="s">
        <v>38</v>
      </c>
      <c r="G559">
        <v>4</v>
      </c>
      <c r="H559">
        <v>0.05</v>
      </c>
      <c r="I559">
        <v>114</v>
      </c>
      <c r="J559">
        <v>23.42</v>
      </c>
    </row>
    <row r="560" spans="1:10" x14ac:dyDescent="0.25">
      <c r="A560" t="s">
        <v>836</v>
      </c>
      <c r="B560" s="1">
        <v>45827</v>
      </c>
      <c r="C560" t="s">
        <v>837</v>
      </c>
      <c r="D560" t="s">
        <v>19</v>
      </c>
      <c r="E560" t="s">
        <v>20</v>
      </c>
      <c r="F560" t="s">
        <v>21</v>
      </c>
      <c r="G560">
        <v>4</v>
      </c>
      <c r="H560">
        <v>0.1</v>
      </c>
      <c r="I560">
        <v>648</v>
      </c>
      <c r="J560">
        <v>192.87</v>
      </c>
    </row>
    <row r="561" spans="1:10" x14ac:dyDescent="0.25">
      <c r="A561" t="s">
        <v>838</v>
      </c>
      <c r="B561" s="1">
        <v>45827</v>
      </c>
      <c r="C561" t="s">
        <v>839</v>
      </c>
      <c r="D561" t="s">
        <v>73</v>
      </c>
      <c r="E561" t="s">
        <v>74</v>
      </c>
      <c r="F561" t="s">
        <v>21</v>
      </c>
      <c r="G561">
        <v>1</v>
      </c>
      <c r="H561">
        <v>0.2</v>
      </c>
      <c r="I561">
        <v>6.4</v>
      </c>
      <c r="J561">
        <v>0.64</v>
      </c>
    </row>
    <row r="562" spans="1:10" x14ac:dyDescent="0.25">
      <c r="A562" t="s">
        <v>840</v>
      </c>
      <c r="B562" s="1">
        <v>45828</v>
      </c>
      <c r="C562" t="s">
        <v>84</v>
      </c>
      <c r="D562" t="s">
        <v>27</v>
      </c>
      <c r="E562" t="s">
        <v>28</v>
      </c>
      <c r="F562" t="s">
        <v>14</v>
      </c>
      <c r="G562">
        <v>2</v>
      </c>
      <c r="H562">
        <v>0.05</v>
      </c>
      <c r="I562">
        <v>1235</v>
      </c>
      <c r="J562">
        <v>231.12</v>
      </c>
    </row>
    <row r="563" spans="1:10" x14ac:dyDescent="0.25">
      <c r="A563" t="s">
        <v>841</v>
      </c>
      <c r="B563" s="1">
        <v>45828</v>
      </c>
      <c r="C563" t="s">
        <v>295</v>
      </c>
      <c r="D563" t="s">
        <v>73</v>
      </c>
      <c r="E563" t="s">
        <v>74</v>
      </c>
      <c r="F563" t="s">
        <v>21</v>
      </c>
      <c r="G563">
        <v>5</v>
      </c>
      <c r="H563">
        <v>0.2</v>
      </c>
      <c r="I563">
        <v>32</v>
      </c>
      <c r="J563">
        <v>2.23</v>
      </c>
    </row>
    <row r="564" spans="1:10" x14ac:dyDescent="0.25">
      <c r="A564" t="s">
        <v>842</v>
      </c>
      <c r="B564" s="1">
        <v>45828</v>
      </c>
      <c r="C564" t="s">
        <v>619</v>
      </c>
      <c r="D564" t="s">
        <v>37</v>
      </c>
      <c r="E564" t="s">
        <v>28</v>
      </c>
      <c r="F564" t="s">
        <v>21</v>
      </c>
      <c r="G564">
        <v>2</v>
      </c>
      <c r="H564">
        <v>0</v>
      </c>
      <c r="I564">
        <v>160</v>
      </c>
      <c r="J564">
        <v>46.12</v>
      </c>
    </row>
    <row r="565" spans="1:10" x14ac:dyDescent="0.25">
      <c r="A565" t="s">
        <v>843</v>
      </c>
      <c r="B565" s="1">
        <v>45828</v>
      </c>
      <c r="C565" t="s">
        <v>528</v>
      </c>
      <c r="D565" t="s">
        <v>81</v>
      </c>
      <c r="E565" t="s">
        <v>13</v>
      </c>
      <c r="F565" t="s">
        <v>14</v>
      </c>
      <c r="G565">
        <v>5</v>
      </c>
      <c r="H565">
        <v>0.05</v>
      </c>
      <c r="I565">
        <v>213.75</v>
      </c>
      <c r="J565">
        <v>33.85</v>
      </c>
    </row>
    <row r="566" spans="1:10" x14ac:dyDescent="0.25">
      <c r="A566" t="s">
        <v>844</v>
      </c>
      <c r="B566" s="1">
        <v>45829</v>
      </c>
      <c r="C566" t="s">
        <v>495</v>
      </c>
      <c r="D566" t="s">
        <v>27</v>
      </c>
      <c r="E566" t="s">
        <v>28</v>
      </c>
      <c r="F566" t="s">
        <v>29</v>
      </c>
      <c r="G566">
        <v>3</v>
      </c>
      <c r="H566">
        <v>0.15</v>
      </c>
      <c r="I566">
        <v>1657.5</v>
      </c>
      <c r="J566">
        <v>115.52</v>
      </c>
    </row>
    <row r="567" spans="1:10" x14ac:dyDescent="0.25">
      <c r="A567" t="s">
        <v>845</v>
      </c>
      <c r="B567" s="1">
        <v>45829</v>
      </c>
      <c r="C567" t="s">
        <v>846</v>
      </c>
      <c r="D567" t="s">
        <v>81</v>
      </c>
      <c r="E567" t="s">
        <v>13</v>
      </c>
      <c r="F567" t="s">
        <v>29</v>
      </c>
      <c r="G567">
        <v>1</v>
      </c>
      <c r="H567">
        <v>0</v>
      </c>
      <c r="I567">
        <v>45</v>
      </c>
      <c r="J567">
        <v>8.5399999999999991</v>
      </c>
    </row>
    <row r="568" spans="1:10" x14ac:dyDescent="0.25">
      <c r="A568" t="s">
        <v>847</v>
      </c>
      <c r="B568" s="1">
        <v>45829</v>
      </c>
      <c r="C568" t="s">
        <v>848</v>
      </c>
      <c r="D568" t="s">
        <v>73</v>
      </c>
      <c r="E568" t="s">
        <v>74</v>
      </c>
      <c r="F568" t="s">
        <v>38</v>
      </c>
      <c r="G568">
        <v>1</v>
      </c>
      <c r="H568">
        <v>0</v>
      </c>
      <c r="I568">
        <v>8</v>
      </c>
      <c r="J568">
        <v>2.31</v>
      </c>
    </row>
    <row r="569" spans="1:10" x14ac:dyDescent="0.25">
      <c r="A569" t="s">
        <v>849</v>
      </c>
      <c r="B569" s="1">
        <v>45830</v>
      </c>
      <c r="C569" t="s">
        <v>850</v>
      </c>
      <c r="D569" t="s">
        <v>12</v>
      </c>
      <c r="E569" t="s">
        <v>13</v>
      </c>
      <c r="F569" t="s">
        <v>38</v>
      </c>
      <c r="G569">
        <v>2</v>
      </c>
      <c r="H569">
        <v>0.2</v>
      </c>
      <c r="I569">
        <v>88</v>
      </c>
      <c r="J569">
        <v>15.62</v>
      </c>
    </row>
    <row r="570" spans="1:10" x14ac:dyDescent="0.25">
      <c r="A570" t="s">
        <v>851</v>
      </c>
      <c r="B570" s="1">
        <v>45830</v>
      </c>
      <c r="C570" t="s">
        <v>162</v>
      </c>
      <c r="D570" t="s">
        <v>37</v>
      </c>
      <c r="E570" t="s">
        <v>28</v>
      </c>
      <c r="F570" t="s">
        <v>29</v>
      </c>
      <c r="G570">
        <v>1</v>
      </c>
      <c r="H570">
        <v>0.2</v>
      </c>
      <c r="I570">
        <v>64</v>
      </c>
      <c r="J570">
        <v>6.06</v>
      </c>
    </row>
    <row r="571" spans="1:10" x14ac:dyDescent="0.25">
      <c r="A571" t="s">
        <v>852</v>
      </c>
      <c r="B571" s="1">
        <v>45830</v>
      </c>
      <c r="C571" t="s">
        <v>97</v>
      </c>
      <c r="D571" t="s">
        <v>73</v>
      </c>
      <c r="E571" t="s">
        <v>74</v>
      </c>
      <c r="F571" t="s">
        <v>14</v>
      </c>
      <c r="G571">
        <v>4</v>
      </c>
      <c r="H571">
        <v>0</v>
      </c>
      <c r="I571">
        <v>32</v>
      </c>
      <c r="J571">
        <v>8.06</v>
      </c>
    </row>
    <row r="572" spans="1:10" x14ac:dyDescent="0.25">
      <c r="A572" t="s">
        <v>853</v>
      </c>
      <c r="B572" s="1">
        <v>45831</v>
      </c>
      <c r="C572" t="s">
        <v>289</v>
      </c>
      <c r="D572" t="s">
        <v>19</v>
      </c>
      <c r="E572" t="s">
        <v>20</v>
      </c>
      <c r="F572" t="s">
        <v>14</v>
      </c>
      <c r="G572">
        <v>2</v>
      </c>
      <c r="H572">
        <v>0.15</v>
      </c>
      <c r="I572">
        <v>306</v>
      </c>
      <c r="J572">
        <v>46.88</v>
      </c>
    </row>
    <row r="573" spans="1:10" x14ac:dyDescent="0.25">
      <c r="A573" t="s">
        <v>854</v>
      </c>
      <c r="B573" s="1">
        <v>45831</v>
      </c>
      <c r="C573" t="s">
        <v>88</v>
      </c>
      <c r="D573" t="s">
        <v>73</v>
      </c>
      <c r="E573" t="s">
        <v>74</v>
      </c>
      <c r="F573" t="s">
        <v>38</v>
      </c>
      <c r="G573">
        <v>4</v>
      </c>
      <c r="H573">
        <v>0.05</v>
      </c>
      <c r="I573">
        <v>30.4</v>
      </c>
      <c r="J573">
        <v>4.63</v>
      </c>
    </row>
    <row r="574" spans="1:10" x14ac:dyDescent="0.25">
      <c r="A574" t="s">
        <v>855</v>
      </c>
      <c r="B574" s="1">
        <v>45831</v>
      </c>
      <c r="C574" t="s">
        <v>856</v>
      </c>
      <c r="D574" t="s">
        <v>24</v>
      </c>
      <c r="E574" t="s">
        <v>20</v>
      </c>
      <c r="F574" t="s">
        <v>21</v>
      </c>
      <c r="G574">
        <v>2</v>
      </c>
      <c r="H574">
        <v>0.05</v>
      </c>
      <c r="I574">
        <v>418</v>
      </c>
      <c r="J574">
        <v>70.569999999999993</v>
      </c>
    </row>
    <row r="575" spans="1:10" x14ac:dyDescent="0.25">
      <c r="A575" t="s">
        <v>857</v>
      </c>
      <c r="B575" s="1">
        <v>45831</v>
      </c>
      <c r="C575" t="s">
        <v>312</v>
      </c>
      <c r="D575" t="s">
        <v>24</v>
      </c>
      <c r="E575" t="s">
        <v>20</v>
      </c>
      <c r="F575" t="s">
        <v>14</v>
      </c>
      <c r="G575">
        <v>3</v>
      </c>
      <c r="H575">
        <v>0</v>
      </c>
      <c r="I575">
        <v>660</v>
      </c>
      <c r="J575">
        <v>187.32</v>
      </c>
    </row>
    <row r="576" spans="1:10" x14ac:dyDescent="0.25">
      <c r="A576" t="s">
        <v>858</v>
      </c>
      <c r="B576" s="1">
        <v>45832</v>
      </c>
      <c r="C576" t="s">
        <v>859</v>
      </c>
      <c r="D576" t="s">
        <v>73</v>
      </c>
      <c r="E576" t="s">
        <v>74</v>
      </c>
      <c r="F576" t="s">
        <v>21</v>
      </c>
      <c r="G576">
        <v>4</v>
      </c>
      <c r="H576">
        <v>0.05</v>
      </c>
      <c r="I576">
        <v>30.4</v>
      </c>
      <c r="J576">
        <v>8.01</v>
      </c>
    </row>
    <row r="577" spans="1:10" x14ac:dyDescent="0.25">
      <c r="A577" t="s">
        <v>860</v>
      </c>
      <c r="B577" s="1">
        <v>45832</v>
      </c>
      <c r="C577" t="s">
        <v>411</v>
      </c>
      <c r="D577" t="s">
        <v>32</v>
      </c>
      <c r="E577" t="s">
        <v>28</v>
      </c>
      <c r="F577" t="s">
        <v>38</v>
      </c>
      <c r="G577">
        <v>1</v>
      </c>
      <c r="H577">
        <v>0</v>
      </c>
      <c r="I577">
        <v>500</v>
      </c>
      <c r="J577">
        <v>113.9</v>
      </c>
    </row>
    <row r="578" spans="1:10" x14ac:dyDescent="0.25">
      <c r="A578" t="s">
        <v>861</v>
      </c>
      <c r="B578" s="1">
        <v>45832</v>
      </c>
      <c r="C578" t="s">
        <v>333</v>
      </c>
      <c r="D578" t="s">
        <v>19</v>
      </c>
      <c r="E578" t="s">
        <v>20</v>
      </c>
      <c r="F578" t="s">
        <v>38</v>
      </c>
      <c r="G578">
        <v>4</v>
      </c>
      <c r="H578">
        <v>0.15</v>
      </c>
      <c r="I578">
        <v>612</v>
      </c>
      <c r="J578">
        <v>33.35</v>
      </c>
    </row>
    <row r="579" spans="1:10" x14ac:dyDescent="0.25">
      <c r="A579" t="s">
        <v>862</v>
      </c>
      <c r="B579" s="1">
        <v>45833</v>
      </c>
      <c r="C579" t="s">
        <v>125</v>
      </c>
      <c r="D579" t="s">
        <v>73</v>
      </c>
      <c r="E579" t="s">
        <v>74</v>
      </c>
      <c r="F579" t="s">
        <v>38</v>
      </c>
      <c r="G579">
        <v>1</v>
      </c>
      <c r="H579">
        <v>0.15</v>
      </c>
      <c r="I579">
        <v>6.8</v>
      </c>
      <c r="J579">
        <v>1.44</v>
      </c>
    </row>
    <row r="580" spans="1:10" x14ac:dyDescent="0.25">
      <c r="A580" t="s">
        <v>863</v>
      </c>
      <c r="B580" s="1">
        <v>45833</v>
      </c>
      <c r="C580" t="s">
        <v>258</v>
      </c>
      <c r="D580" t="s">
        <v>37</v>
      </c>
      <c r="E580" t="s">
        <v>28</v>
      </c>
      <c r="F580" t="s">
        <v>14</v>
      </c>
      <c r="G580">
        <v>4</v>
      </c>
      <c r="H580">
        <v>0.15</v>
      </c>
      <c r="I580">
        <v>272</v>
      </c>
      <c r="J580">
        <v>15.86</v>
      </c>
    </row>
    <row r="581" spans="1:10" x14ac:dyDescent="0.25">
      <c r="A581" t="s">
        <v>864</v>
      </c>
      <c r="B581" s="1">
        <v>45833</v>
      </c>
      <c r="C581" t="s">
        <v>865</v>
      </c>
      <c r="D581" t="s">
        <v>19</v>
      </c>
      <c r="E581" t="s">
        <v>20</v>
      </c>
      <c r="F581" t="s">
        <v>14</v>
      </c>
      <c r="G581">
        <v>4</v>
      </c>
      <c r="H581">
        <v>0</v>
      </c>
      <c r="I581">
        <v>720</v>
      </c>
      <c r="J581">
        <v>152.66999999999999</v>
      </c>
    </row>
    <row r="582" spans="1:10" x14ac:dyDescent="0.25">
      <c r="A582" t="s">
        <v>866</v>
      </c>
      <c r="B582" s="1">
        <v>45834</v>
      </c>
      <c r="C582" t="s">
        <v>352</v>
      </c>
      <c r="D582" t="s">
        <v>24</v>
      </c>
      <c r="E582" t="s">
        <v>20</v>
      </c>
      <c r="F582" t="s">
        <v>14</v>
      </c>
      <c r="G582">
        <v>2</v>
      </c>
      <c r="H582">
        <v>0.2</v>
      </c>
      <c r="I582">
        <v>352</v>
      </c>
      <c r="J582">
        <v>66.16</v>
      </c>
    </row>
    <row r="583" spans="1:10" x14ac:dyDescent="0.25">
      <c r="A583" t="s">
        <v>867</v>
      </c>
      <c r="B583" s="1">
        <v>45834</v>
      </c>
      <c r="C583" t="s">
        <v>206</v>
      </c>
      <c r="D583" t="s">
        <v>19</v>
      </c>
      <c r="E583" t="s">
        <v>20</v>
      </c>
      <c r="F583" t="s">
        <v>38</v>
      </c>
      <c r="G583">
        <v>5</v>
      </c>
      <c r="H583">
        <v>0.1</v>
      </c>
      <c r="I583">
        <v>810</v>
      </c>
      <c r="J583">
        <v>150.6</v>
      </c>
    </row>
    <row r="584" spans="1:10" x14ac:dyDescent="0.25">
      <c r="A584" t="s">
        <v>868</v>
      </c>
      <c r="B584" s="1">
        <v>45834</v>
      </c>
      <c r="C584" t="s">
        <v>258</v>
      </c>
      <c r="D584" t="s">
        <v>73</v>
      </c>
      <c r="E584" t="s">
        <v>74</v>
      </c>
      <c r="F584" t="s">
        <v>29</v>
      </c>
      <c r="G584">
        <v>3</v>
      </c>
      <c r="H584">
        <v>0.05</v>
      </c>
      <c r="I584">
        <v>22.8</v>
      </c>
      <c r="J584">
        <v>6.23</v>
      </c>
    </row>
    <row r="585" spans="1:10" x14ac:dyDescent="0.25">
      <c r="A585" t="s">
        <v>869</v>
      </c>
      <c r="B585" s="1">
        <v>45834</v>
      </c>
      <c r="C585" t="s">
        <v>181</v>
      </c>
      <c r="D585" t="s">
        <v>24</v>
      </c>
      <c r="E585" t="s">
        <v>20</v>
      </c>
      <c r="F585" t="s">
        <v>38</v>
      </c>
      <c r="G585">
        <v>5</v>
      </c>
      <c r="H585">
        <v>0.15</v>
      </c>
      <c r="I585">
        <v>935</v>
      </c>
      <c r="J585">
        <v>71.900000000000006</v>
      </c>
    </row>
    <row r="586" spans="1:10" x14ac:dyDescent="0.25">
      <c r="A586" t="s">
        <v>870</v>
      </c>
      <c r="B586" s="1">
        <v>45835</v>
      </c>
      <c r="C586" t="s">
        <v>121</v>
      </c>
      <c r="D586" t="s">
        <v>37</v>
      </c>
      <c r="E586" t="s">
        <v>28</v>
      </c>
      <c r="F586" t="s">
        <v>29</v>
      </c>
      <c r="G586">
        <v>4</v>
      </c>
      <c r="H586">
        <v>0</v>
      </c>
      <c r="I586">
        <v>320</v>
      </c>
      <c r="J586">
        <v>105.26</v>
      </c>
    </row>
    <row r="587" spans="1:10" x14ac:dyDescent="0.25">
      <c r="A587" t="s">
        <v>871</v>
      </c>
      <c r="B587" s="1">
        <v>45835</v>
      </c>
      <c r="C587" t="s">
        <v>443</v>
      </c>
      <c r="D587" t="s">
        <v>12</v>
      </c>
      <c r="E587" t="s">
        <v>13</v>
      </c>
      <c r="F587" t="s">
        <v>38</v>
      </c>
      <c r="G587">
        <v>4</v>
      </c>
      <c r="H587">
        <v>0.1</v>
      </c>
      <c r="I587">
        <v>198</v>
      </c>
      <c r="J587">
        <v>45.57</v>
      </c>
    </row>
    <row r="588" spans="1:10" x14ac:dyDescent="0.25">
      <c r="A588" t="s">
        <v>872</v>
      </c>
      <c r="B588" s="1">
        <v>45835</v>
      </c>
      <c r="C588" t="s">
        <v>273</v>
      </c>
      <c r="D588" t="s">
        <v>24</v>
      </c>
      <c r="E588" t="s">
        <v>20</v>
      </c>
      <c r="F588" t="s">
        <v>38</v>
      </c>
      <c r="G588">
        <v>1</v>
      </c>
      <c r="H588">
        <v>0.05</v>
      </c>
      <c r="I588">
        <v>209</v>
      </c>
      <c r="J588">
        <v>36.92</v>
      </c>
    </row>
    <row r="589" spans="1:10" x14ac:dyDescent="0.25">
      <c r="A589" t="s">
        <v>873</v>
      </c>
      <c r="B589" s="1">
        <v>45836</v>
      </c>
      <c r="C589" t="s">
        <v>271</v>
      </c>
      <c r="D589" t="s">
        <v>19</v>
      </c>
      <c r="E589" t="s">
        <v>20</v>
      </c>
      <c r="F589" t="s">
        <v>38</v>
      </c>
      <c r="G589">
        <v>2</v>
      </c>
      <c r="H589">
        <v>0.15</v>
      </c>
      <c r="I589">
        <v>306</v>
      </c>
      <c r="J589">
        <v>57.41</v>
      </c>
    </row>
    <row r="590" spans="1:10" x14ac:dyDescent="0.25">
      <c r="A590" t="s">
        <v>874</v>
      </c>
      <c r="B590" s="1">
        <v>45836</v>
      </c>
      <c r="C590" t="s">
        <v>779</v>
      </c>
      <c r="D590" t="s">
        <v>37</v>
      </c>
      <c r="E590" t="s">
        <v>28</v>
      </c>
      <c r="F590" t="s">
        <v>38</v>
      </c>
      <c r="G590">
        <v>1</v>
      </c>
      <c r="H590">
        <v>0.05</v>
      </c>
      <c r="I590">
        <v>76</v>
      </c>
      <c r="J590">
        <v>25.67</v>
      </c>
    </row>
    <row r="591" spans="1:10" x14ac:dyDescent="0.25">
      <c r="A591" t="s">
        <v>875</v>
      </c>
      <c r="B591" s="1">
        <v>45836</v>
      </c>
      <c r="C591" t="s">
        <v>240</v>
      </c>
      <c r="D591" t="s">
        <v>24</v>
      </c>
      <c r="E591" t="s">
        <v>20</v>
      </c>
      <c r="F591" t="s">
        <v>29</v>
      </c>
      <c r="G591">
        <v>5</v>
      </c>
      <c r="H591">
        <v>0.15</v>
      </c>
      <c r="I591">
        <v>935</v>
      </c>
      <c r="J591">
        <v>253</v>
      </c>
    </row>
    <row r="592" spans="1:10" x14ac:dyDescent="0.25">
      <c r="A592" t="s">
        <v>876</v>
      </c>
      <c r="B592" s="1">
        <v>45837</v>
      </c>
      <c r="C592" t="s">
        <v>387</v>
      </c>
      <c r="D592" t="s">
        <v>81</v>
      </c>
      <c r="E592" t="s">
        <v>13</v>
      </c>
      <c r="F592" t="s">
        <v>21</v>
      </c>
      <c r="G592">
        <v>5</v>
      </c>
      <c r="H592">
        <v>0.1</v>
      </c>
      <c r="I592">
        <v>202.5</v>
      </c>
      <c r="J592">
        <v>53.97</v>
      </c>
    </row>
    <row r="593" spans="1:10" x14ac:dyDescent="0.25">
      <c r="A593" t="s">
        <v>877</v>
      </c>
      <c r="B593" s="1">
        <v>45837</v>
      </c>
      <c r="C593" t="s">
        <v>878</v>
      </c>
      <c r="D593" t="s">
        <v>24</v>
      </c>
      <c r="E593" t="s">
        <v>20</v>
      </c>
      <c r="F593" t="s">
        <v>38</v>
      </c>
      <c r="G593">
        <v>5</v>
      </c>
      <c r="H593">
        <v>0.05</v>
      </c>
      <c r="I593">
        <v>1045</v>
      </c>
      <c r="J593">
        <v>168.8</v>
      </c>
    </row>
    <row r="594" spans="1:10" x14ac:dyDescent="0.25">
      <c r="A594" t="s">
        <v>879</v>
      </c>
      <c r="B594" s="1">
        <v>45837</v>
      </c>
      <c r="C594" t="s">
        <v>705</v>
      </c>
      <c r="D594" t="s">
        <v>19</v>
      </c>
      <c r="E594" t="s">
        <v>20</v>
      </c>
      <c r="F594" t="s">
        <v>21</v>
      </c>
      <c r="G594">
        <v>1</v>
      </c>
      <c r="H594">
        <v>0.15</v>
      </c>
      <c r="I594">
        <v>153</v>
      </c>
      <c r="J594">
        <v>26.19</v>
      </c>
    </row>
    <row r="595" spans="1:10" x14ac:dyDescent="0.25">
      <c r="A595" t="s">
        <v>880</v>
      </c>
      <c r="B595" s="1">
        <v>45838</v>
      </c>
      <c r="C595" t="s">
        <v>881</v>
      </c>
      <c r="D595" t="s">
        <v>24</v>
      </c>
      <c r="E595" t="s">
        <v>20</v>
      </c>
      <c r="F595" t="s">
        <v>21</v>
      </c>
      <c r="G595">
        <v>1</v>
      </c>
      <c r="H595">
        <v>0.05</v>
      </c>
      <c r="I595">
        <v>209</v>
      </c>
      <c r="J595">
        <v>60.66</v>
      </c>
    </row>
    <row r="596" spans="1:10" x14ac:dyDescent="0.25">
      <c r="A596" t="s">
        <v>882</v>
      </c>
      <c r="B596" s="1">
        <v>45838</v>
      </c>
      <c r="C596" t="s">
        <v>610</v>
      </c>
      <c r="D596" t="s">
        <v>81</v>
      </c>
      <c r="E596" t="s">
        <v>13</v>
      </c>
      <c r="F596" t="s">
        <v>21</v>
      </c>
      <c r="G596">
        <v>4</v>
      </c>
      <c r="H596">
        <v>0.2</v>
      </c>
      <c r="I596">
        <v>144</v>
      </c>
      <c r="J596">
        <v>5.25</v>
      </c>
    </row>
    <row r="597" spans="1:10" x14ac:dyDescent="0.25">
      <c r="A597" t="s">
        <v>883</v>
      </c>
      <c r="B597" s="1">
        <v>45838</v>
      </c>
      <c r="C597" t="s">
        <v>198</v>
      </c>
      <c r="D597" t="s">
        <v>24</v>
      </c>
      <c r="E597" t="s">
        <v>20</v>
      </c>
      <c r="F597" t="s">
        <v>29</v>
      </c>
      <c r="G597">
        <v>1</v>
      </c>
      <c r="H597">
        <v>0.05</v>
      </c>
      <c r="I597">
        <v>209</v>
      </c>
      <c r="J597">
        <v>54.36</v>
      </c>
    </row>
    <row r="598" spans="1:10" x14ac:dyDescent="0.25">
      <c r="A598" t="s">
        <v>884</v>
      </c>
      <c r="B598" s="1">
        <v>45838</v>
      </c>
      <c r="C598" t="s">
        <v>885</v>
      </c>
      <c r="D598" t="s">
        <v>37</v>
      </c>
      <c r="E598" t="s">
        <v>28</v>
      </c>
      <c r="F598" t="s">
        <v>14</v>
      </c>
      <c r="G598">
        <v>1</v>
      </c>
      <c r="H598">
        <v>0.05</v>
      </c>
      <c r="I598">
        <v>76</v>
      </c>
      <c r="J598">
        <v>16.350000000000001</v>
      </c>
    </row>
    <row r="599" spans="1:10" x14ac:dyDescent="0.25">
      <c r="A599" t="s">
        <v>886</v>
      </c>
      <c r="B599" s="1">
        <v>45839</v>
      </c>
      <c r="C599" t="s">
        <v>416</v>
      </c>
      <c r="D599" t="s">
        <v>27</v>
      </c>
      <c r="E599" t="s">
        <v>28</v>
      </c>
      <c r="F599" t="s">
        <v>14</v>
      </c>
      <c r="G599">
        <v>4</v>
      </c>
      <c r="H599">
        <v>0.2</v>
      </c>
      <c r="I599">
        <v>2080</v>
      </c>
      <c r="J599">
        <v>139.28</v>
      </c>
    </row>
    <row r="600" spans="1:10" x14ac:dyDescent="0.25">
      <c r="A600" t="s">
        <v>887</v>
      </c>
      <c r="B600" s="1">
        <v>45839</v>
      </c>
      <c r="C600" t="s">
        <v>888</v>
      </c>
      <c r="D600" t="s">
        <v>24</v>
      </c>
      <c r="E600" t="s">
        <v>20</v>
      </c>
      <c r="F600" t="s">
        <v>14</v>
      </c>
      <c r="G600">
        <v>1</v>
      </c>
      <c r="H600">
        <v>0.1</v>
      </c>
      <c r="I600">
        <v>198</v>
      </c>
      <c r="J600">
        <v>39.21</v>
      </c>
    </row>
    <row r="601" spans="1:10" x14ac:dyDescent="0.25">
      <c r="A601" t="s">
        <v>889</v>
      </c>
      <c r="B601" s="1">
        <v>45839</v>
      </c>
      <c r="C601" t="s">
        <v>76</v>
      </c>
      <c r="D601" t="s">
        <v>50</v>
      </c>
      <c r="E601" t="s">
        <v>28</v>
      </c>
      <c r="F601" t="s">
        <v>14</v>
      </c>
      <c r="G601">
        <v>2</v>
      </c>
      <c r="H601">
        <v>0.1</v>
      </c>
      <c r="I601">
        <v>432</v>
      </c>
      <c r="J601">
        <v>65.819999999999993</v>
      </c>
    </row>
    <row r="602" spans="1:10" x14ac:dyDescent="0.25">
      <c r="A602" t="s">
        <v>890</v>
      </c>
      <c r="B602" s="1">
        <v>45840</v>
      </c>
      <c r="C602" t="s">
        <v>52</v>
      </c>
      <c r="D602" t="s">
        <v>12</v>
      </c>
      <c r="E602" t="s">
        <v>13</v>
      </c>
      <c r="F602" t="s">
        <v>21</v>
      </c>
      <c r="G602">
        <v>2</v>
      </c>
      <c r="H602">
        <v>0.1</v>
      </c>
      <c r="I602">
        <v>99</v>
      </c>
      <c r="J602">
        <v>11.84</v>
      </c>
    </row>
    <row r="603" spans="1:10" x14ac:dyDescent="0.25">
      <c r="A603" t="s">
        <v>891</v>
      </c>
      <c r="B603" s="1">
        <v>45840</v>
      </c>
      <c r="C603" t="s">
        <v>396</v>
      </c>
      <c r="D603" t="s">
        <v>50</v>
      </c>
      <c r="E603" t="s">
        <v>28</v>
      </c>
      <c r="F603" t="s">
        <v>38</v>
      </c>
      <c r="G603">
        <v>5</v>
      </c>
      <c r="H603">
        <v>0</v>
      </c>
      <c r="I603">
        <v>1200</v>
      </c>
      <c r="J603">
        <v>404.79</v>
      </c>
    </row>
    <row r="604" spans="1:10" x14ac:dyDescent="0.25">
      <c r="A604" t="s">
        <v>892</v>
      </c>
      <c r="B604" s="1">
        <v>45840</v>
      </c>
      <c r="C604" t="s">
        <v>638</v>
      </c>
      <c r="D604" t="s">
        <v>27</v>
      </c>
      <c r="E604" t="s">
        <v>28</v>
      </c>
      <c r="F604" t="s">
        <v>29</v>
      </c>
      <c r="G604">
        <v>1</v>
      </c>
      <c r="H604">
        <v>0.1</v>
      </c>
      <c r="I604">
        <v>585</v>
      </c>
      <c r="J604">
        <v>108.93</v>
      </c>
    </row>
    <row r="605" spans="1:10" x14ac:dyDescent="0.25">
      <c r="A605" t="s">
        <v>893</v>
      </c>
      <c r="B605" s="1">
        <v>45841</v>
      </c>
      <c r="C605" t="s">
        <v>612</v>
      </c>
      <c r="D605" t="s">
        <v>27</v>
      </c>
      <c r="E605" t="s">
        <v>28</v>
      </c>
      <c r="F605" t="s">
        <v>29</v>
      </c>
      <c r="G605">
        <v>1</v>
      </c>
      <c r="H605">
        <v>0.05</v>
      </c>
      <c r="I605">
        <v>617.5</v>
      </c>
      <c r="J605">
        <v>193.31</v>
      </c>
    </row>
    <row r="606" spans="1:10" x14ac:dyDescent="0.25">
      <c r="A606" t="s">
        <v>894</v>
      </c>
      <c r="B606" s="1">
        <v>45841</v>
      </c>
      <c r="C606" t="s">
        <v>895</v>
      </c>
      <c r="D606" t="s">
        <v>19</v>
      </c>
      <c r="E606" t="s">
        <v>20</v>
      </c>
      <c r="F606" t="s">
        <v>21</v>
      </c>
      <c r="G606">
        <v>2</v>
      </c>
      <c r="H606">
        <v>0</v>
      </c>
      <c r="I606">
        <v>360</v>
      </c>
      <c r="J606">
        <v>80.48</v>
      </c>
    </row>
    <row r="607" spans="1:10" x14ac:dyDescent="0.25">
      <c r="A607" t="s">
        <v>896</v>
      </c>
      <c r="B607" s="1">
        <v>45841</v>
      </c>
      <c r="C607" t="s">
        <v>673</v>
      </c>
      <c r="D607" t="s">
        <v>27</v>
      </c>
      <c r="E607" t="s">
        <v>28</v>
      </c>
      <c r="F607" t="s">
        <v>38</v>
      </c>
      <c r="G607">
        <v>2</v>
      </c>
      <c r="H607">
        <v>0.05</v>
      </c>
      <c r="I607">
        <v>1235</v>
      </c>
      <c r="J607">
        <v>367.91</v>
      </c>
    </row>
    <row r="608" spans="1:10" x14ac:dyDescent="0.25">
      <c r="A608" t="s">
        <v>897</v>
      </c>
      <c r="B608" s="1">
        <v>45841</v>
      </c>
      <c r="C608" t="s">
        <v>66</v>
      </c>
      <c r="D608" t="s">
        <v>24</v>
      </c>
      <c r="E608" t="s">
        <v>20</v>
      </c>
      <c r="F608" t="s">
        <v>29</v>
      </c>
      <c r="G608">
        <v>1</v>
      </c>
      <c r="H608">
        <v>0.05</v>
      </c>
      <c r="I608">
        <v>209</v>
      </c>
      <c r="J608">
        <v>51.38</v>
      </c>
    </row>
    <row r="609" spans="1:10" x14ac:dyDescent="0.25">
      <c r="A609" t="s">
        <v>898</v>
      </c>
      <c r="B609" s="1">
        <v>45842</v>
      </c>
      <c r="C609" t="s">
        <v>34</v>
      </c>
      <c r="D609" t="s">
        <v>32</v>
      </c>
      <c r="E609" t="s">
        <v>28</v>
      </c>
      <c r="F609" t="s">
        <v>29</v>
      </c>
      <c r="G609">
        <v>3</v>
      </c>
      <c r="H609">
        <v>0.05</v>
      </c>
      <c r="I609">
        <v>1425</v>
      </c>
      <c r="J609">
        <v>455.49</v>
      </c>
    </row>
    <row r="610" spans="1:10" x14ac:dyDescent="0.25">
      <c r="A610" t="s">
        <v>899</v>
      </c>
      <c r="B610" s="1">
        <v>45842</v>
      </c>
      <c r="C610" t="s">
        <v>900</v>
      </c>
      <c r="D610" t="s">
        <v>19</v>
      </c>
      <c r="E610" t="s">
        <v>20</v>
      </c>
      <c r="F610" t="s">
        <v>21</v>
      </c>
      <c r="G610">
        <v>4</v>
      </c>
      <c r="H610">
        <v>0.05</v>
      </c>
      <c r="I610">
        <v>684</v>
      </c>
      <c r="J610">
        <v>112.12</v>
      </c>
    </row>
    <row r="611" spans="1:10" x14ac:dyDescent="0.25">
      <c r="A611" t="s">
        <v>901</v>
      </c>
      <c r="B611" s="1">
        <v>45842</v>
      </c>
      <c r="C611" t="s">
        <v>165</v>
      </c>
      <c r="D611" t="s">
        <v>91</v>
      </c>
      <c r="E611" t="s">
        <v>13</v>
      </c>
      <c r="F611" t="s">
        <v>21</v>
      </c>
      <c r="G611">
        <v>3</v>
      </c>
      <c r="H611">
        <v>0.15</v>
      </c>
      <c r="I611">
        <v>76.5</v>
      </c>
      <c r="J611">
        <v>3.03</v>
      </c>
    </row>
    <row r="612" spans="1:10" x14ac:dyDescent="0.25">
      <c r="A612" t="s">
        <v>902</v>
      </c>
      <c r="B612" s="1">
        <v>45843</v>
      </c>
      <c r="C612" t="s">
        <v>141</v>
      </c>
      <c r="D612" t="s">
        <v>19</v>
      </c>
      <c r="E612" t="s">
        <v>20</v>
      </c>
      <c r="F612" t="s">
        <v>38</v>
      </c>
      <c r="G612">
        <v>4</v>
      </c>
      <c r="H612">
        <v>0</v>
      </c>
      <c r="I612">
        <v>720</v>
      </c>
      <c r="J612">
        <v>270.75</v>
      </c>
    </row>
    <row r="613" spans="1:10" x14ac:dyDescent="0.25">
      <c r="A613" t="s">
        <v>903</v>
      </c>
      <c r="B613" s="1">
        <v>45843</v>
      </c>
      <c r="C613" t="s">
        <v>60</v>
      </c>
      <c r="D613" t="s">
        <v>24</v>
      </c>
      <c r="E613" t="s">
        <v>20</v>
      </c>
      <c r="F613" t="s">
        <v>14</v>
      </c>
      <c r="G613">
        <v>3</v>
      </c>
      <c r="H613">
        <v>0.05</v>
      </c>
      <c r="I613">
        <v>627</v>
      </c>
      <c r="J613">
        <v>94.38</v>
      </c>
    </row>
    <row r="614" spans="1:10" x14ac:dyDescent="0.25">
      <c r="A614" t="s">
        <v>904</v>
      </c>
      <c r="B614" s="1">
        <v>45843</v>
      </c>
      <c r="C614" t="s">
        <v>331</v>
      </c>
      <c r="D614" t="s">
        <v>24</v>
      </c>
      <c r="E614" t="s">
        <v>20</v>
      </c>
      <c r="F614" t="s">
        <v>21</v>
      </c>
      <c r="G614">
        <v>3</v>
      </c>
      <c r="H614">
        <v>0.05</v>
      </c>
      <c r="I614">
        <v>627</v>
      </c>
      <c r="J614">
        <v>206.72</v>
      </c>
    </row>
    <row r="615" spans="1:10" x14ac:dyDescent="0.25">
      <c r="A615" t="s">
        <v>905</v>
      </c>
      <c r="B615" s="1">
        <v>45844</v>
      </c>
      <c r="C615" t="s">
        <v>113</v>
      </c>
      <c r="D615" t="s">
        <v>24</v>
      </c>
      <c r="E615" t="s">
        <v>20</v>
      </c>
      <c r="F615" t="s">
        <v>14</v>
      </c>
      <c r="G615">
        <v>3</v>
      </c>
      <c r="H615">
        <v>0</v>
      </c>
      <c r="I615">
        <v>660</v>
      </c>
      <c r="J615">
        <v>201.44</v>
      </c>
    </row>
    <row r="616" spans="1:10" x14ac:dyDescent="0.25">
      <c r="A616" t="s">
        <v>906</v>
      </c>
      <c r="B616" s="1">
        <v>45844</v>
      </c>
      <c r="C616" t="s">
        <v>616</v>
      </c>
      <c r="D616" t="s">
        <v>19</v>
      </c>
      <c r="E616" t="s">
        <v>20</v>
      </c>
      <c r="F616" t="s">
        <v>29</v>
      </c>
      <c r="G616">
        <v>3</v>
      </c>
      <c r="H616">
        <v>0.15</v>
      </c>
      <c r="I616">
        <v>459</v>
      </c>
      <c r="J616">
        <v>59.28</v>
      </c>
    </row>
    <row r="617" spans="1:10" x14ac:dyDescent="0.25">
      <c r="A617" t="s">
        <v>907</v>
      </c>
      <c r="B617" s="1">
        <v>45844</v>
      </c>
      <c r="C617" t="s">
        <v>295</v>
      </c>
      <c r="D617" t="s">
        <v>37</v>
      </c>
      <c r="E617" t="s">
        <v>28</v>
      </c>
      <c r="F617" t="s">
        <v>14</v>
      </c>
      <c r="G617">
        <v>2</v>
      </c>
      <c r="H617">
        <v>0.2</v>
      </c>
      <c r="I617">
        <v>128</v>
      </c>
      <c r="J617">
        <v>28.43</v>
      </c>
    </row>
    <row r="618" spans="1:10" x14ac:dyDescent="0.25">
      <c r="A618" t="s">
        <v>908</v>
      </c>
      <c r="B618" s="1">
        <v>45845</v>
      </c>
      <c r="C618" t="s">
        <v>909</v>
      </c>
      <c r="D618" t="s">
        <v>73</v>
      </c>
      <c r="E618" t="s">
        <v>74</v>
      </c>
      <c r="F618" t="s">
        <v>14</v>
      </c>
      <c r="G618">
        <v>1</v>
      </c>
      <c r="H618">
        <v>0</v>
      </c>
      <c r="I618">
        <v>8</v>
      </c>
      <c r="J618">
        <v>2.16</v>
      </c>
    </row>
    <row r="619" spans="1:10" x14ac:dyDescent="0.25">
      <c r="A619" t="s">
        <v>910</v>
      </c>
      <c r="B619" s="1">
        <v>45845</v>
      </c>
      <c r="C619" t="s">
        <v>911</v>
      </c>
      <c r="D619" t="s">
        <v>37</v>
      </c>
      <c r="E619" t="s">
        <v>28</v>
      </c>
      <c r="F619" t="s">
        <v>29</v>
      </c>
      <c r="G619">
        <v>2</v>
      </c>
      <c r="H619">
        <v>0.1</v>
      </c>
      <c r="I619">
        <v>144</v>
      </c>
      <c r="J619">
        <v>38.26</v>
      </c>
    </row>
    <row r="620" spans="1:10" x14ac:dyDescent="0.25">
      <c r="A620" t="s">
        <v>912</v>
      </c>
      <c r="B620" s="1">
        <v>45845</v>
      </c>
      <c r="C620" t="s">
        <v>913</v>
      </c>
      <c r="D620" t="s">
        <v>12</v>
      </c>
      <c r="E620" t="s">
        <v>13</v>
      </c>
      <c r="F620" t="s">
        <v>29</v>
      </c>
      <c r="G620">
        <v>3</v>
      </c>
      <c r="H620">
        <v>0.1</v>
      </c>
      <c r="I620">
        <v>148.5</v>
      </c>
      <c r="J620">
        <v>29.15</v>
      </c>
    </row>
    <row r="621" spans="1:10" x14ac:dyDescent="0.25">
      <c r="A621" t="s">
        <v>914</v>
      </c>
      <c r="B621" s="1">
        <v>45845</v>
      </c>
      <c r="C621" t="s">
        <v>258</v>
      </c>
      <c r="D621" t="s">
        <v>37</v>
      </c>
      <c r="E621" t="s">
        <v>28</v>
      </c>
      <c r="F621" t="s">
        <v>38</v>
      </c>
      <c r="G621">
        <v>4</v>
      </c>
      <c r="H621">
        <v>0.1</v>
      </c>
      <c r="I621">
        <v>288</v>
      </c>
      <c r="J621">
        <v>45.45</v>
      </c>
    </row>
    <row r="622" spans="1:10" x14ac:dyDescent="0.25">
      <c r="A622" t="s">
        <v>915</v>
      </c>
      <c r="B622" s="1">
        <v>45846</v>
      </c>
      <c r="C622" t="s">
        <v>865</v>
      </c>
      <c r="D622" t="s">
        <v>12</v>
      </c>
      <c r="E622" t="s">
        <v>13</v>
      </c>
      <c r="F622" t="s">
        <v>21</v>
      </c>
      <c r="G622">
        <v>3</v>
      </c>
      <c r="H622">
        <v>0</v>
      </c>
      <c r="I622">
        <v>165</v>
      </c>
      <c r="J622">
        <v>31.3</v>
      </c>
    </row>
    <row r="623" spans="1:10" x14ac:dyDescent="0.25">
      <c r="A623" t="s">
        <v>916</v>
      </c>
      <c r="B623" s="1">
        <v>45846</v>
      </c>
      <c r="C623" t="s">
        <v>149</v>
      </c>
      <c r="D623" t="s">
        <v>19</v>
      </c>
      <c r="E623" t="s">
        <v>20</v>
      </c>
      <c r="F623" t="s">
        <v>21</v>
      </c>
      <c r="G623">
        <v>4</v>
      </c>
      <c r="H623">
        <v>0.05</v>
      </c>
      <c r="I623">
        <v>684</v>
      </c>
      <c r="J623">
        <v>224.34</v>
      </c>
    </row>
    <row r="624" spans="1:10" x14ac:dyDescent="0.25">
      <c r="A624" t="s">
        <v>917</v>
      </c>
      <c r="B624" s="1">
        <v>45846</v>
      </c>
      <c r="C624" t="s">
        <v>846</v>
      </c>
      <c r="D624" t="s">
        <v>32</v>
      </c>
      <c r="E624" t="s">
        <v>28</v>
      </c>
      <c r="F624" t="s">
        <v>21</v>
      </c>
      <c r="G624">
        <v>3</v>
      </c>
      <c r="H624">
        <v>0.1</v>
      </c>
      <c r="I624">
        <v>1350</v>
      </c>
      <c r="J624">
        <v>208.01</v>
      </c>
    </row>
    <row r="625" spans="1:10" x14ac:dyDescent="0.25">
      <c r="A625" t="s">
        <v>918</v>
      </c>
      <c r="B625" s="1">
        <v>45847</v>
      </c>
      <c r="C625" t="s">
        <v>398</v>
      </c>
      <c r="D625" t="s">
        <v>50</v>
      </c>
      <c r="E625" t="s">
        <v>28</v>
      </c>
      <c r="F625" t="s">
        <v>38</v>
      </c>
      <c r="G625">
        <v>3</v>
      </c>
      <c r="H625">
        <v>0.05</v>
      </c>
      <c r="I625">
        <v>684</v>
      </c>
      <c r="J625">
        <v>151.54</v>
      </c>
    </row>
    <row r="626" spans="1:10" x14ac:dyDescent="0.25">
      <c r="A626" t="s">
        <v>919</v>
      </c>
      <c r="B626" s="1">
        <v>45847</v>
      </c>
      <c r="C626" t="s">
        <v>540</v>
      </c>
      <c r="D626" t="s">
        <v>73</v>
      </c>
      <c r="E626" t="s">
        <v>74</v>
      </c>
      <c r="F626" t="s">
        <v>38</v>
      </c>
      <c r="G626">
        <v>1</v>
      </c>
      <c r="H626">
        <v>0</v>
      </c>
      <c r="I626">
        <v>8</v>
      </c>
      <c r="J626">
        <v>1.53</v>
      </c>
    </row>
    <row r="627" spans="1:10" x14ac:dyDescent="0.25">
      <c r="A627" t="s">
        <v>920</v>
      </c>
      <c r="B627" s="1">
        <v>45847</v>
      </c>
      <c r="C627" t="s">
        <v>571</v>
      </c>
      <c r="D627" t="s">
        <v>24</v>
      </c>
      <c r="E627" t="s">
        <v>20</v>
      </c>
      <c r="F627" t="s">
        <v>14</v>
      </c>
      <c r="G627">
        <v>3</v>
      </c>
      <c r="H627">
        <v>0.15</v>
      </c>
      <c r="I627">
        <v>561</v>
      </c>
      <c r="J627">
        <v>69.27</v>
      </c>
    </row>
    <row r="628" spans="1:10" x14ac:dyDescent="0.25">
      <c r="A628" t="s">
        <v>921</v>
      </c>
      <c r="B628" s="1">
        <v>45848</v>
      </c>
      <c r="C628" t="s">
        <v>289</v>
      </c>
      <c r="D628" t="s">
        <v>27</v>
      </c>
      <c r="E628" t="s">
        <v>28</v>
      </c>
      <c r="F628" t="s">
        <v>29</v>
      </c>
      <c r="G628">
        <v>1</v>
      </c>
      <c r="H628">
        <v>0.05</v>
      </c>
      <c r="I628">
        <v>617.5</v>
      </c>
      <c r="J628">
        <v>92.79</v>
      </c>
    </row>
    <row r="629" spans="1:10" x14ac:dyDescent="0.25">
      <c r="A629" t="s">
        <v>922</v>
      </c>
      <c r="B629" s="1">
        <v>45848</v>
      </c>
      <c r="C629" t="s">
        <v>219</v>
      </c>
      <c r="D629" t="s">
        <v>32</v>
      </c>
      <c r="E629" t="s">
        <v>28</v>
      </c>
      <c r="F629" t="s">
        <v>21</v>
      </c>
      <c r="G629">
        <v>1</v>
      </c>
      <c r="H629">
        <v>0</v>
      </c>
      <c r="I629">
        <v>500</v>
      </c>
      <c r="J629">
        <v>117.43</v>
      </c>
    </row>
    <row r="630" spans="1:10" x14ac:dyDescent="0.25">
      <c r="A630" t="s">
        <v>923</v>
      </c>
      <c r="B630" s="1">
        <v>45848</v>
      </c>
      <c r="C630" t="s">
        <v>578</v>
      </c>
      <c r="D630" t="s">
        <v>81</v>
      </c>
      <c r="E630" t="s">
        <v>13</v>
      </c>
      <c r="F630" t="s">
        <v>38</v>
      </c>
      <c r="G630">
        <v>1</v>
      </c>
      <c r="H630">
        <v>0.05</v>
      </c>
      <c r="I630">
        <v>42.75</v>
      </c>
      <c r="J630">
        <v>8.16</v>
      </c>
    </row>
    <row r="631" spans="1:10" x14ac:dyDescent="0.25">
      <c r="A631" t="s">
        <v>924</v>
      </c>
      <c r="B631" s="1">
        <v>45848</v>
      </c>
      <c r="C631" t="s">
        <v>443</v>
      </c>
      <c r="D631" t="s">
        <v>19</v>
      </c>
      <c r="E631" t="s">
        <v>20</v>
      </c>
      <c r="F631" t="s">
        <v>29</v>
      </c>
      <c r="G631">
        <v>3</v>
      </c>
      <c r="H631">
        <v>0</v>
      </c>
      <c r="I631">
        <v>540</v>
      </c>
      <c r="J631">
        <v>118.02</v>
      </c>
    </row>
    <row r="632" spans="1:10" x14ac:dyDescent="0.25">
      <c r="A632" t="s">
        <v>925</v>
      </c>
      <c r="B632" s="1">
        <v>45849</v>
      </c>
      <c r="C632" t="s">
        <v>263</v>
      </c>
      <c r="D632" t="s">
        <v>50</v>
      </c>
      <c r="E632" t="s">
        <v>28</v>
      </c>
      <c r="F632" t="s">
        <v>38</v>
      </c>
      <c r="G632">
        <v>3</v>
      </c>
      <c r="H632">
        <v>0</v>
      </c>
      <c r="I632">
        <v>720</v>
      </c>
      <c r="J632">
        <v>188.72</v>
      </c>
    </row>
    <row r="633" spans="1:10" x14ac:dyDescent="0.25">
      <c r="A633" t="s">
        <v>926</v>
      </c>
      <c r="B633" s="1">
        <v>45849</v>
      </c>
      <c r="C633" t="s">
        <v>673</v>
      </c>
      <c r="D633" t="s">
        <v>50</v>
      </c>
      <c r="E633" t="s">
        <v>28</v>
      </c>
      <c r="F633" t="s">
        <v>38</v>
      </c>
      <c r="G633">
        <v>1</v>
      </c>
      <c r="H633">
        <v>0</v>
      </c>
      <c r="I633">
        <v>240</v>
      </c>
      <c r="J633">
        <v>56.93</v>
      </c>
    </row>
    <row r="634" spans="1:10" x14ac:dyDescent="0.25">
      <c r="A634" t="s">
        <v>927</v>
      </c>
      <c r="B634" s="1">
        <v>45849</v>
      </c>
      <c r="C634" t="s">
        <v>143</v>
      </c>
      <c r="D634" t="s">
        <v>27</v>
      </c>
      <c r="E634" t="s">
        <v>28</v>
      </c>
      <c r="F634" t="s">
        <v>29</v>
      </c>
      <c r="G634">
        <v>5</v>
      </c>
      <c r="H634">
        <v>0.15</v>
      </c>
      <c r="I634">
        <v>2762.5</v>
      </c>
      <c r="J634">
        <v>267.33</v>
      </c>
    </row>
    <row r="635" spans="1:10" x14ac:dyDescent="0.25">
      <c r="A635" t="s">
        <v>928</v>
      </c>
      <c r="B635" s="1">
        <v>45850</v>
      </c>
      <c r="C635" t="s">
        <v>149</v>
      </c>
      <c r="D635" t="s">
        <v>27</v>
      </c>
      <c r="E635" t="s">
        <v>28</v>
      </c>
      <c r="F635" t="s">
        <v>29</v>
      </c>
      <c r="G635">
        <v>1</v>
      </c>
      <c r="H635">
        <v>0</v>
      </c>
      <c r="I635">
        <v>650</v>
      </c>
      <c r="J635">
        <v>236.97</v>
      </c>
    </row>
    <row r="636" spans="1:10" x14ac:dyDescent="0.25">
      <c r="A636" t="s">
        <v>929</v>
      </c>
      <c r="B636" s="1">
        <v>45850</v>
      </c>
      <c r="C636" t="s">
        <v>716</v>
      </c>
      <c r="D636" t="s">
        <v>37</v>
      </c>
      <c r="E636" t="s">
        <v>28</v>
      </c>
      <c r="F636" t="s">
        <v>21</v>
      </c>
      <c r="G636">
        <v>3</v>
      </c>
      <c r="H636">
        <v>0</v>
      </c>
      <c r="I636">
        <v>240</v>
      </c>
      <c r="J636">
        <v>62.54</v>
      </c>
    </row>
    <row r="637" spans="1:10" x14ac:dyDescent="0.25">
      <c r="A637" t="s">
        <v>930</v>
      </c>
      <c r="B637" s="1">
        <v>45850</v>
      </c>
      <c r="C637" t="s">
        <v>547</v>
      </c>
      <c r="D637" t="s">
        <v>12</v>
      </c>
      <c r="E637" t="s">
        <v>13</v>
      </c>
      <c r="F637" t="s">
        <v>38</v>
      </c>
      <c r="G637">
        <v>2</v>
      </c>
      <c r="H637">
        <v>0.15</v>
      </c>
      <c r="I637">
        <v>93.5</v>
      </c>
      <c r="J637">
        <v>16.87</v>
      </c>
    </row>
    <row r="638" spans="1:10" x14ac:dyDescent="0.25">
      <c r="A638" t="s">
        <v>931</v>
      </c>
      <c r="B638" s="1">
        <v>45851</v>
      </c>
      <c r="C638" t="s">
        <v>856</v>
      </c>
      <c r="D638" t="s">
        <v>91</v>
      </c>
      <c r="E638" t="s">
        <v>13</v>
      </c>
      <c r="F638" t="s">
        <v>21</v>
      </c>
      <c r="G638">
        <v>3</v>
      </c>
      <c r="H638">
        <v>0.1</v>
      </c>
      <c r="I638">
        <v>81</v>
      </c>
      <c r="J638">
        <v>11.83</v>
      </c>
    </row>
    <row r="639" spans="1:10" x14ac:dyDescent="0.25">
      <c r="A639" t="s">
        <v>932</v>
      </c>
      <c r="B639" s="1">
        <v>45851</v>
      </c>
      <c r="C639" t="s">
        <v>254</v>
      </c>
      <c r="D639" t="s">
        <v>91</v>
      </c>
      <c r="E639" t="s">
        <v>13</v>
      </c>
      <c r="F639" t="s">
        <v>14</v>
      </c>
      <c r="G639">
        <v>3</v>
      </c>
      <c r="H639">
        <v>0.15</v>
      </c>
      <c r="I639">
        <v>76.5</v>
      </c>
      <c r="J639">
        <v>13.01</v>
      </c>
    </row>
    <row r="640" spans="1:10" x14ac:dyDescent="0.25">
      <c r="A640" t="s">
        <v>933</v>
      </c>
      <c r="B640" s="1">
        <v>45851</v>
      </c>
      <c r="C640" t="s">
        <v>421</v>
      </c>
      <c r="D640" t="s">
        <v>12</v>
      </c>
      <c r="E640" t="s">
        <v>13</v>
      </c>
      <c r="F640" t="s">
        <v>14</v>
      </c>
      <c r="G640">
        <v>1</v>
      </c>
      <c r="H640">
        <v>0.15</v>
      </c>
      <c r="I640">
        <v>46.75</v>
      </c>
      <c r="J640">
        <v>2.58</v>
      </c>
    </row>
    <row r="641" spans="1:10" x14ac:dyDescent="0.25">
      <c r="A641" t="s">
        <v>934</v>
      </c>
      <c r="B641" s="1">
        <v>45851</v>
      </c>
      <c r="C641" t="s">
        <v>416</v>
      </c>
      <c r="D641" t="s">
        <v>37</v>
      </c>
      <c r="E641" t="s">
        <v>28</v>
      </c>
      <c r="F641" t="s">
        <v>29</v>
      </c>
      <c r="G641">
        <v>3</v>
      </c>
      <c r="H641">
        <v>0.05</v>
      </c>
      <c r="I641">
        <v>228</v>
      </c>
      <c r="J641">
        <v>48.95</v>
      </c>
    </row>
    <row r="642" spans="1:10" x14ac:dyDescent="0.25">
      <c r="A642" t="s">
        <v>935</v>
      </c>
      <c r="B642" s="1">
        <v>45852</v>
      </c>
      <c r="C642" t="s">
        <v>254</v>
      </c>
      <c r="D642" t="s">
        <v>81</v>
      </c>
      <c r="E642" t="s">
        <v>13</v>
      </c>
      <c r="F642" t="s">
        <v>14</v>
      </c>
      <c r="G642">
        <v>2</v>
      </c>
      <c r="H642">
        <v>0.05</v>
      </c>
      <c r="I642">
        <v>85.5</v>
      </c>
      <c r="J642">
        <v>20.07</v>
      </c>
    </row>
    <row r="643" spans="1:10" x14ac:dyDescent="0.25">
      <c r="A643" t="s">
        <v>936</v>
      </c>
      <c r="B643" s="1">
        <v>45852</v>
      </c>
      <c r="C643" t="s">
        <v>633</v>
      </c>
      <c r="D643" t="s">
        <v>37</v>
      </c>
      <c r="E643" t="s">
        <v>28</v>
      </c>
      <c r="F643" t="s">
        <v>14</v>
      </c>
      <c r="G643">
        <v>2</v>
      </c>
      <c r="H643">
        <v>0.1</v>
      </c>
      <c r="I643">
        <v>144</v>
      </c>
      <c r="J643">
        <v>19.68</v>
      </c>
    </row>
    <row r="644" spans="1:10" x14ac:dyDescent="0.25">
      <c r="A644" t="s">
        <v>937</v>
      </c>
      <c r="B644" s="1">
        <v>45852</v>
      </c>
      <c r="C644" t="s">
        <v>237</v>
      </c>
      <c r="D644" t="s">
        <v>19</v>
      </c>
      <c r="E644" t="s">
        <v>20</v>
      </c>
      <c r="F644" t="s">
        <v>14</v>
      </c>
      <c r="G644">
        <v>5</v>
      </c>
      <c r="H644">
        <v>0.05</v>
      </c>
      <c r="I644">
        <v>855</v>
      </c>
      <c r="J644">
        <v>291.89999999999998</v>
      </c>
    </row>
    <row r="645" spans="1:10" x14ac:dyDescent="0.25">
      <c r="A645" t="s">
        <v>938</v>
      </c>
      <c r="B645" s="1">
        <v>45853</v>
      </c>
      <c r="C645" t="s">
        <v>457</v>
      </c>
      <c r="D645" t="s">
        <v>12</v>
      </c>
      <c r="E645" t="s">
        <v>13</v>
      </c>
      <c r="F645" t="s">
        <v>21</v>
      </c>
      <c r="G645">
        <v>3</v>
      </c>
      <c r="H645">
        <v>0.05</v>
      </c>
      <c r="I645">
        <v>156.75</v>
      </c>
      <c r="J645">
        <v>32.83</v>
      </c>
    </row>
    <row r="646" spans="1:10" x14ac:dyDescent="0.25">
      <c r="A646" t="s">
        <v>939</v>
      </c>
      <c r="B646" s="1">
        <v>45853</v>
      </c>
      <c r="C646" t="s">
        <v>523</v>
      </c>
      <c r="D646" t="s">
        <v>24</v>
      </c>
      <c r="E646" t="s">
        <v>20</v>
      </c>
      <c r="F646" t="s">
        <v>21</v>
      </c>
      <c r="G646">
        <v>5</v>
      </c>
      <c r="H646">
        <v>0</v>
      </c>
      <c r="I646">
        <v>1100</v>
      </c>
      <c r="J646">
        <v>377.16</v>
      </c>
    </row>
    <row r="647" spans="1:10" x14ac:dyDescent="0.25">
      <c r="A647" t="s">
        <v>940</v>
      </c>
      <c r="B647" s="1">
        <v>45853</v>
      </c>
      <c r="C647" t="s">
        <v>913</v>
      </c>
      <c r="D647" t="s">
        <v>12</v>
      </c>
      <c r="E647" t="s">
        <v>13</v>
      </c>
      <c r="F647" t="s">
        <v>29</v>
      </c>
      <c r="G647">
        <v>3</v>
      </c>
      <c r="H647">
        <v>0.15</v>
      </c>
      <c r="I647">
        <v>140.25</v>
      </c>
      <c r="J647">
        <v>15.34</v>
      </c>
    </row>
    <row r="648" spans="1:10" x14ac:dyDescent="0.25">
      <c r="A648" t="s">
        <v>941</v>
      </c>
      <c r="B648" s="1">
        <v>45854</v>
      </c>
      <c r="C648" t="s">
        <v>760</v>
      </c>
      <c r="D648" t="s">
        <v>24</v>
      </c>
      <c r="E648" t="s">
        <v>20</v>
      </c>
      <c r="F648" t="s">
        <v>38</v>
      </c>
      <c r="G648">
        <v>1</v>
      </c>
      <c r="H648">
        <v>0.05</v>
      </c>
      <c r="I648">
        <v>209</v>
      </c>
      <c r="J648">
        <v>61.6</v>
      </c>
    </row>
    <row r="649" spans="1:10" x14ac:dyDescent="0.25">
      <c r="A649" t="s">
        <v>942</v>
      </c>
      <c r="B649" s="1">
        <v>45854</v>
      </c>
      <c r="C649" t="s">
        <v>943</v>
      </c>
      <c r="D649" t="s">
        <v>50</v>
      </c>
      <c r="E649" t="s">
        <v>28</v>
      </c>
      <c r="F649" t="s">
        <v>14</v>
      </c>
      <c r="G649">
        <v>5</v>
      </c>
      <c r="H649">
        <v>0.1</v>
      </c>
      <c r="I649">
        <v>1080</v>
      </c>
      <c r="J649">
        <v>317.61</v>
      </c>
    </row>
    <row r="650" spans="1:10" x14ac:dyDescent="0.25">
      <c r="A650" t="s">
        <v>944</v>
      </c>
      <c r="B650" s="1">
        <v>45854</v>
      </c>
      <c r="C650" t="s">
        <v>297</v>
      </c>
      <c r="D650" t="s">
        <v>12</v>
      </c>
      <c r="E650" t="s">
        <v>13</v>
      </c>
      <c r="F650" t="s">
        <v>29</v>
      </c>
      <c r="G650">
        <v>5</v>
      </c>
      <c r="H650">
        <v>0.05</v>
      </c>
      <c r="I650">
        <v>261.25</v>
      </c>
      <c r="J650">
        <v>71.260000000000005</v>
      </c>
    </row>
    <row r="651" spans="1:10" x14ac:dyDescent="0.25">
      <c r="A651" t="s">
        <v>945</v>
      </c>
      <c r="B651" s="1">
        <v>45855</v>
      </c>
      <c r="C651" t="s">
        <v>599</v>
      </c>
      <c r="D651" t="s">
        <v>27</v>
      </c>
      <c r="E651" t="s">
        <v>28</v>
      </c>
      <c r="F651" t="s">
        <v>38</v>
      </c>
      <c r="G651">
        <v>1</v>
      </c>
      <c r="H651">
        <v>0</v>
      </c>
      <c r="I651">
        <v>650</v>
      </c>
      <c r="J651">
        <v>195.95</v>
      </c>
    </row>
    <row r="652" spans="1:10" x14ac:dyDescent="0.25">
      <c r="A652" t="s">
        <v>946</v>
      </c>
      <c r="B652" s="1">
        <v>45855</v>
      </c>
      <c r="C652" t="s">
        <v>153</v>
      </c>
      <c r="D652" t="s">
        <v>12</v>
      </c>
      <c r="E652" t="s">
        <v>13</v>
      </c>
      <c r="F652" t="s">
        <v>38</v>
      </c>
      <c r="G652">
        <v>1</v>
      </c>
      <c r="H652">
        <v>0.15</v>
      </c>
      <c r="I652">
        <v>46.75</v>
      </c>
      <c r="J652">
        <v>5.2</v>
      </c>
    </row>
    <row r="653" spans="1:10" x14ac:dyDescent="0.25">
      <c r="A653" t="s">
        <v>947</v>
      </c>
      <c r="B653" s="1">
        <v>45855</v>
      </c>
      <c r="C653" t="s">
        <v>369</v>
      </c>
      <c r="D653" t="s">
        <v>32</v>
      </c>
      <c r="E653" t="s">
        <v>28</v>
      </c>
      <c r="F653" t="s">
        <v>14</v>
      </c>
      <c r="G653">
        <v>1</v>
      </c>
      <c r="H653">
        <v>0</v>
      </c>
      <c r="I653">
        <v>500</v>
      </c>
      <c r="J653">
        <v>160.41</v>
      </c>
    </row>
    <row r="654" spans="1:10" x14ac:dyDescent="0.25">
      <c r="A654" t="s">
        <v>948</v>
      </c>
      <c r="B654" s="1">
        <v>45855</v>
      </c>
      <c r="C654" t="s">
        <v>101</v>
      </c>
      <c r="D654" t="s">
        <v>12</v>
      </c>
      <c r="E654" t="s">
        <v>13</v>
      </c>
      <c r="F654" t="s">
        <v>38</v>
      </c>
      <c r="G654">
        <v>5</v>
      </c>
      <c r="H654">
        <v>0.1</v>
      </c>
      <c r="I654">
        <v>247.5</v>
      </c>
      <c r="J654">
        <v>55.84</v>
      </c>
    </row>
    <row r="655" spans="1:10" x14ac:dyDescent="0.25">
      <c r="A655" t="s">
        <v>949</v>
      </c>
      <c r="B655" s="1">
        <v>45856</v>
      </c>
      <c r="C655" t="s">
        <v>950</v>
      </c>
      <c r="D655" t="s">
        <v>27</v>
      </c>
      <c r="E655" t="s">
        <v>28</v>
      </c>
      <c r="F655" t="s">
        <v>21</v>
      </c>
      <c r="G655">
        <v>5</v>
      </c>
      <c r="H655">
        <v>0.1</v>
      </c>
      <c r="I655">
        <v>2925</v>
      </c>
      <c r="J655">
        <v>433.94</v>
      </c>
    </row>
    <row r="656" spans="1:10" x14ac:dyDescent="0.25">
      <c r="A656" t="s">
        <v>951</v>
      </c>
      <c r="B656" s="1">
        <v>45856</v>
      </c>
      <c r="C656" t="s">
        <v>214</v>
      </c>
      <c r="D656" t="s">
        <v>81</v>
      </c>
      <c r="E656" t="s">
        <v>13</v>
      </c>
      <c r="F656" t="s">
        <v>21</v>
      </c>
      <c r="G656">
        <v>1</v>
      </c>
      <c r="H656">
        <v>0.05</v>
      </c>
      <c r="I656">
        <v>42.75</v>
      </c>
      <c r="J656">
        <v>11.12</v>
      </c>
    </row>
    <row r="657" spans="1:10" x14ac:dyDescent="0.25">
      <c r="A657" t="s">
        <v>952</v>
      </c>
      <c r="B657" s="1">
        <v>45856</v>
      </c>
      <c r="C657" t="s">
        <v>404</v>
      </c>
      <c r="D657" t="s">
        <v>32</v>
      </c>
      <c r="E657" t="s">
        <v>28</v>
      </c>
      <c r="F657" t="s">
        <v>21</v>
      </c>
      <c r="G657">
        <v>4</v>
      </c>
      <c r="H657">
        <v>0</v>
      </c>
      <c r="I657">
        <v>2000</v>
      </c>
      <c r="J657">
        <v>675.24</v>
      </c>
    </row>
    <row r="658" spans="1:10" x14ac:dyDescent="0.25">
      <c r="A658" t="s">
        <v>953</v>
      </c>
      <c r="B658" s="1">
        <v>45857</v>
      </c>
      <c r="C658" t="s">
        <v>78</v>
      </c>
      <c r="D658" t="s">
        <v>12</v>
      </c>
      <c r="E658" t="s">
        <v>13</v>
      </c>
      <c r="F658" t="s">
        <v>29</v>
      </c>
      <c r="G658">
        <v>3</v>
      </c>
      <c r="H658">
        <v>0.05</v>
      </c>
      <c r="I658">
        <v>156.75</v>
      </c>
      <c r="J658">
        <v>29.72</v>
      </c>
    </row>
    <row r="659" spans="1:10" x14ac:dyDescent="0.25">
      <c r="A659" t="s">
        <v>954</v>
      </c>
      <c r="B659" s="1">
        <v>45857</v>
      </c>
      <c r="C659" t="s">
        <v>493</v>
      </c>
      <c r="D659" t="s">
        <v>50</v>
      </c>
      <c r="E659" t="s">
        <v>28</v>
      </c>
      <c r="F659" t="s">
        <v>21</v>
      </c>
      <c r="G659">
        <v>1</v>
      </c>
      <c r="H659">
        <v>0.05</v>
      </c>
      <c r="I659">
        <v>228</v>
      </c>
      <c r="J659">
        <v>53.24</v>
      </c>
    </row>
    <row r="660" spans="1:10" x14ac:dyDescent="0.25">
      <c r="A660" t="s">
        <v>955</v>
      </c>
      <c r="B660" s="1">
        <v>45857</v>
      </c>
      <c r="C660" t="s">
        <v>956</v>
      </c>
      <c r="D660" t="s">
        <v>27</v>
      </c>
      <c r="E660" t="s">
        <v>28</v>
      </c>
      <c r="F660" t="s">
        <v>14</v>
      </c>
      <c r="G660">
        <v>5</v>
      </c>
      <c r="H660">
        <v>0.1</v>
      </c>
      <c r="I660">
        <v>2925</v>
      </c>
      <c r="J660">
        <v>642.23</v>
      </c>
    </row>
    <row r="661" spans="1:10" x14ac:dyDescent="0.25">
      <c r="A661" t="s">
        <v>957</v>
      </c>
      <c r="B661" s="1">
        <v>45858</v>
      </c>
      <c r="C661" t="s">
        <v>396</v>
      </c>
      <c r="D661" t="s">
        <v>37</v>
      </c>
      <c r="E661" t="s">
        <v>28</v>
      </c>
      <c r="F661" t="s">
        <v>29</v>
      </c>
      <c r="G661">
        <v>5</v>
      </c>
      <c r="H661">
        <v>0.1</v>
      </c>
      <c r="I661">
        <v>360</v>
      </c>
      <c r="J661">
        <v>102.77</v>
      </c>
    </row>
    <row r="662" spans="1:10" x14ac:dyDescent="0.25">
      <c r="A662" t="s">
        <v>958</v>
      </c>
      <c r="B662" s="1">
        <v>45858</v>
      </c>
      <c r="C662" t="s">
        <v>224</v>
      </c>
      <c r="D662" t="s">
        <v>12</v>
      </c>
      <c r="E662" t="s">
        <v>13</v>
      </c>
      <c r="F662" t="s">
        <v>14</v>
      </c>
      <c r="G662">
        <v>2</v>
      </c>
      <c r="H662">
        <v>0.1</v>
      </c>
      <c r="I662">
        <v>99</v>
      </c>
      <c r="J662">
        <v>28.29</v>
      </c>
    </row>
    <row r="663" spans="1:10" x14ac:dyDescent="0.25">
      <c r="A663" t="s">
        <v>959</v>
      </c>
      <c r="B663" s="1">
        <v>45858</v>
      </c>
      <c r="C663" t="s">
        <v>411</v>
      </c>
      <c r="D663" t="s">
        <v>32</v>
      </c>
      <c r="E663" t="s">
        <v>28</v>
      </c>
      <c r="F663" t="s">
        <v>21</v>
      </c>
      <c r="G663">
        <v>2</v>
      </c>
      <c r="H663">
        <v>0.1</v>
      </c>
      <c r="I663">
        <v>900</v>
      </c>
      <c r="J663">
        <v>196.15</v>
      </c>
    </row>
    <row r="664" spans="1:10" x14ac:dyDescent="0.25">
      <c r="A664" t="s">
        <v>960</v>
      </c>
      <c r="B664" s="1">
        <v>45858</v>
      </c>
      <c r="C664" t="s">
        <v>237</v>
      </c>
      <c r="D664" t="s">
        <v>27</v>
      </c>
      <c r="E664" t="s">
        <v>28</v>
      </c>
      <c r="F664" t="s">
        <v>14</v>
      </c>
      <c r="G664">
        <v>3</v>
      </c>
      <c r="H664">
        <v>0</v>
      </c>
      <c r="I664">
        <v>1950</v>
      </c>
      <c r="J664">
        <v>556.04</v>
      </c>
    </row>
    <row r="665" spans="1:10" x14ac:dyDescent="0.25">
      <c r="A665" t="s">
        <v>961</v>
      </c>
      <c r="B665" s="1">
        <v>45859</v>
      </c>
      <c r="C665" t="s">
        <v>571</v>
      </c>
      <c r="D665" t="s">
        <v>24</v>
      </c>
      <c r="E665" t="s">
        <v>20</v>
      </c>
      <c r="F665" t="s">
        <v>21</v>
      </c>
      <c r="G665">
        <v>3</v>
      </c>
      <c r="H665">
        <v>0.1</v>
      </c>
      <c r="I665">
        <v>594</v>
      </c>
      <c r="J665">
        <v>151.37</v>
      </c>
    </row>
    <row r="666" spans="1:10" x14ac:dyDescent="0.25">
      <c r="A666" t="s">
        <v>962</v>
      </c>
      <c r="B666" s="1">
        <v>45859</v>
      </c>
      <c r="C666" t="s">
        <v>279</v>
      </c>
      <c r="D666" t="s">
        <v>50</v>
      </c>
      <c r="E666" t="s">
        <v>28</v>
      </c>
      <c r="F666" t="s">
        <v>14</v>
      </c>
      <c r="G666">
        <v>1</v>
      </c>
      <c r="H666">
        <v>0.05</v>
      </c>
      <c r="I666">
        <v>228</v>
      </c>
      <c r="J666">
        <v>37.24</v>
      </c>
    </row>
    <row r="667" spans="1:10" x14ac:dyDescent="0.25">
      <c r="A667" t="s">
        <v>963</v>
      </c>
      <c r="B667" s="1">
        <v>45859</v>
      </c>
      <c r="C667" t="s">
        <v>443</v>
      </c>
      <c r="D667" t="s">
        <v>12</v>
      </c>
      <c r="E667" t="s">
        <v>13</v>
      </c>
      <c r="F667" t="s">
        <v>38</v>
      </c>
      <c r="G667">
        <v>5</v>
      </c>
      <c r="H667">
        <v>0</v>
      </c>
      <c r="I667">
        <v>275</v>
      </c>
      <c r="J667">
        <v>57.48</v>
      </c>
    </row>
    <row r="668" spans="1:10" x14ac:dyDescent="0.25">
      <c r="A668" t="s">
        <v>964</v>
      </c>
      <c r="B668" s="1">
        <v>45860</v>
      </c>
      <c r="C668" t="s">
        <v>846</v>
      </c>
      <c r="D668" t="s">
        <v>24</v>
      </c>
      <c r="E668" t="s">
        <v>20</v>
      </c>
      <c r="F668" t="s">
        <v>21</v>
      </c>
      <c r="G668">
        <v>1</v>
      </c>
      <c r="H668">
        <v>0.15</v>
      </c>
      <c r="I668">
        <v>187</v>
      </c>
      <c r="J668">
        <v>10.92</v>
      </c>
    </row>
    <row r="669" spans="1:10" x14ac:dyDescent="0.25">
      <c r="A669" t="s">
        <v>965</v>
      </c>
      <c r="B669" s="1">
        <v>45860</v>
      </c>
      <c r="C669" t="s">
        <v>155</v>
      </c>
      <c r="D669" t="s">
        <v>91</v>
      </c>
      <c r="E669" t="s">
        <v>13</v>
      </c>
      <c r="F669" t="s">
        <v>29</v>
      </c>
      <c r="G669">
        <v>4</v>
      </c>
      <c r="H669">
        <v>0</v>
      </c>
      <c r="I669">
        <v>120</v>
      </c>
      <c r="J669">
        <v>27.77</v>
      </c>
    </row>
    <row r="670" spans="1:10" x14ac:dyDescent="0.25">
      <c r="A670" t="s">
        <v>966</v>
      </c>
      <c r="B670" s="1">
        <v>45860</v>
      </c>
      <c r="C670" t="s">
        <v>829</v>
      </c>
      <c r="D670" t="s">
        <v>50</v>
      </c>
      <c r="E670" t="s">
        <v>28</v>
      </c>
      <c r="F670" t="s">
        <v>21</v>
      </c>
      <c r="G670">
        <v>1</v>
      </c>
      <c r="H670">
        <v>0</v>
      </c>
      <c r="I670">
        <v>240</v>
      </c>
      <c r="J670">
        <v>73.180000000000007</v>
      </c>
    </row>
    <row r="671" spans="1:10" x14ac:dyDescent="0.25">
      <c r="A671" t="s">
        <v>967</v>
      </c>
      <c r="B671" s="1">
        <v>45861</v>
      </c>
      <c r="C671" t="s">
        <v>619</v>
      </c>
      <c r="D671" t="s">
        <v>19</v>
      </c>
      <c r="E671" t="s">
        <v>20</v>
      </c>
      <c r="F671" t="s">
        <v>21</v>
      </c>
      <c r="G671">
        <v>5</v>
      </c>
      <c r="H671">
        <v>0.1</v>
      </c>
      <c r="I671">
        <v>810</v>
      </c>
      <c r="J671">
        <v>194.19</v>
      </c>
    </row>
    <row r="672" spans="1:10" x14ac:dyDescent="0.25">
      <c r="A672" t="s">
        <v>968</v>
      </c>
      <c r="B672" s="1">
        <v>45861</v>
      </c>
      <c r="C672" t="s">
        <v>291</v>
      </c>
      <c r="D672" t="s">
        <v>91</v>
      </c>
      <c r="E672" t="s">
        <v>13</v>
      </c>
      <c r="F672" t="s">
        <v>29</v>
      </c>
      <c r="G672">
        <v>3</v>
      </c>
      <c r="H672">
        <v>0.1</v>
      </c>
      <c r="I672">
        <v>81</v>
      </c>
      <c r="J672">
        <v>18.46</v>
      </c>
    </row>
    <row r="673" spans="1:10" x14ac:dyDescent="0.25">
      <c r="A673" t="s">
        <v>969</v>
      </c>
      <c r="B673" s="1">
        <v>45861</v>
      </c>
      <c r="C673" t="s">
        <v>295</v>
      </c>
      <c r="D673" t="s">
        <v>73</v>
      </c>
      <c r="E673" t="s">
        <v>74</v>
      </c>
      <c r="F673" t="s">
        <v>29</v>
      </c>
      <c r="G673">
        <v>3</v>
      </c>
      <c r="H673">
        <v>0.2</v>
      </c>
      <c r="I673">
        <v>19.2</v>
      </c>
      <c r="J673">
        <v>2.5</v>
      </c>
    </row>
    <row r="674" spans="1:10" x14ac:dyDescent="0.25">
      <c r="A674" t="s">
        <v>970</v>
      </c>
      <c r="B674" s="1">
        <v>45862</v>
      </c>
      <c r="C674" t="s">
        <v>237</v>
      </c>
      <c r="D674" t="s">
        <v>27</v>
      </c>
      <c r="E674" t="s">
        <v>28</v>
      </c>
      <c r="F674" t="s">
        <v>29</v>
      </c>
      <c r="G674">
        <v>1</v>
      </c>
      <c r="H674">
        <v>0</v>
      </c>
      <c r="I674">
        <v>650</v>
      </c>
      <c r="J674">
        <v>142.41999999999999</v>
      </c>
    </row>
    <row r="675" spans="1:10" x14ac:dyDescent="0.25">
      <c r="A675" t="s">
        <v>971</v>
      </c>
      <c r="B675" s="1">
        <v>45862</v>
      </c>
      <c r="C675" t="s">
        <v>297</v>
      </c>
      <c r="D675" t="s">
        <v>50</v>
      </c>
      <c r="E675" t="s">
        <v>28</v>
      </c>
      <c r="F675" t="s">
        <v>29</v>
      </c>
      <c r="G675">
        <v>4</v>
      </c>
      <c r="H675">
        <v>0.15</v>
      </c>
      <c r="I675">
        <v>816</v>
      </c>
      <c r="J675">
        <v>108.73</v>
      </c>
    </row>
    <row r="676" spans="1:10" x14ac:dyDescent="0.25">
      <c r="A676" t="s">
        <v>972</v>
      </c>
      <c r="B676" s="1">
        <v>45862</v>
      </c>
      <c r="C676" t="s">
        <v>175</v>
      </c>
      <c r="D676" t="s">
        <v>73</v>
      </c>
      <c r="E676" t="s">
        <v>74</v>
      </c>
      <c r="F676" t="s">
        <v>29</v>
      </c>
      <c r="G676">
        <v>4</v>
      </c>
      <c r="H676">
        <v>0</v>
      </c>
      <c r="I676">
        <v>32</v>
      </c>
      <c r="J676">
        <v>7.86</v>
      </c>
    </row>
    <row r="677" spans="1:10" x14ac:dyDescent="0.25">
      <c r="A677" t="s">
        <v>973</v>
      </c>
      <c r="B677" s="1">
        <v>45862</v>
      </c>
      <c r="C677" t="s">
        <v>385</v>
      </c>
      <c r="D677" t="s">
        <v>12</v>
      </c>
      <c r="E677" t="s">
        <v>13</v>
      </c>
      <c r="F677" t="s">
        <v>38</v>
      </c>
      <c r="G677">
        <v>4</v>
      </c>
      <c r="H677">
        <v>0</v>
      </c>
      <c r="I677">
        <v>220</v>
      </c>
      <c r="J677">
        <v>44.42</v>
      </c>
    </row>
    <row r="678" spans="1:10" x14ac:dyDescent="0.25">
      <c r="A678" t="s">
        <v>974</v>
      </c>
      <c r="B678" s="1">
        <v>45863</v>
      </c>
      <c r="C678" t="s">
        <v>396</v>
      </c>
      <c r="D678" t="s">
        <v>32</v>
      </c>
      <c r="E678" t="s">
        <v>28</v>
      </c>
      <c r="F678" t="s">
        <v>21</v>
      </c>
      <c r="G678">
        <v>5</v>
      </c>
      <c r="H678">
        <v>0.1</v>
      </c>
      <c r="I678">
        <v>2250</v>
      </c>
      <c r="J678">
        <v>255.44</v>
      </c>
    </row>
    <row r="679" spans="1:10" x14ac:dyDescent="0.25">
      <c r="A679" t="s">
        <v>975</v>
      </c>
      <c r="B679" s="1">
        <v>45863</v>
      </c>
      <c r="C679" t="s">
        <v>42</v>
      </c>
      <c r="D679" t="s">
        <v>73</v>
      </c>
      <c r="E679" t="s">
        <v>74</v>
      </c>
      <c r="F679" t="s">
        <v>29</v>
      </c>
      <c r="G679">
        <v>4</v>
      </c>
      <c r="H679">
        <v>0.05</v>
      </c>
      <c r="I679">
        <v>30.4</v>
      </c>
      <c r="J679">
        <v>5.98</v>
      </c>
    </row>
    <row r="680" spans="1:10" x14ac:dyDescent="0.25">
      <c r="A680" t="s">
        <v>976</v>
      </c>
      <c r="B680" s="1">
        <v>45863</v>
      </c>
      <c r="C680" t="s">
        <v>287</v>
      </c>
      <c r="D680" t="s">
        <v>91</v>
      </c>
      <c r="E680" t="s">
        <v>13</v>
      </c>
      <c r="F680" t="s">
        <v>21</v>
      </c>
      <c r="G680">
        <v>3</v>
      </c>
      <c r="H680">
        <v>0</v>
      </c>
      <c r="I680">
        <v>90</v>
      </c>
      <c r="J680">
        <v>23.4</v>
      </c>
    </row>
    <row r="681" spans="1:10" x14ac:dyDescent="0.25">
      <c r="A681" t="s">
        <v>977</v>
      </c>
      <c r="B681" s="1">
        <v>45864</v>
      </c>
      <c r="C681" t="s">
        <v>86</v>
      </c>
      <c r="D681" t="s">
        <v>73</v>
      </c>
      <c r="E681" t="s">
        <v>74</v>
      </c>
      <c r="F681" t="s">
        <v>21</v>
      </c>
      <c r="G681">
        <v>4</v>
      </c>
      <c r="H681">
        <v>0.1</v>
      </c>
      <c r="I681">
        <v>28.8</v>
      </c>
      <c r="J681">
        <v>5.39</v>
      </c>
    </row>
    <row r="682" spans="1:10" x14ac:dyDescent="0.25">
      <c r="A682" t="s">
        <v>978</v>
      </c>
      <c r="B682" s="1">
        <v>45864</v>
      </c>
      <c r="C682" t="s">
        <v>84</v>
      </c>
      <c r="D682" t="s">
        <v>37</v>
      </c>
      <c r="E682" t="s">
        <v>28</v>
      </c>
      <c r="F682" t="s">
        <v>14</v>
      </c>
      <c r="G682">
        <v>4</v>
      </c>
      <c r="H682">
        <v>0.05</v>
      </c>
      <c r="I682">
        <v>304</v>
      </c>
      <c r="J682">
        <v>76.75</v>
      </c>
    </row>
    <row r="683" spans="1:10" x14ac:dyDescent="0.25">
      <c r="A683" t="s">
        <v>979</v>
      </c>
      <c r="B683" s="1">
        <v>45864</v>
      </c>
      <c r="C683" t="s">
        <v>64</v>
      </c>
      <c r="D683" t="s">
        <v>81</v>
      </c>
      <c r="E683" t="s">
        <v>13</v>
      </c>
      <c r="F683" t="s">
        <v>14</v>
      </c>
      <c r="G683">
        <v>1</v>
      </c>
      <c r="H683">
        <v>0.05</v>
      </c>
      <c r="I683">
        <v>42.75</v>
      </c>
      <c r="J683">
        <v>6.4</v>
      </c>
    </row>
    <row r="684" spans="1:10" x14ac:dyDescent="0.25">
      <c r="A684" t="s">
        <v>980</v>
      </c>
      <c r="B684" s="1">
        <v>45865</v>
      </c>
      <c r="C684" t="s">
        <v>518</v>
      </c>
      <c r="D684" t="s">
        <v>27</v>
      </c>
      <c r="E684" t="s">
        <v>28</v>
      </c>
      <c r="F684" t="s">
        <v>14</v>
      </c>
      <c r="G684">
        <v>5</v>
      </c>
      <c r="H684">
        <v>0.15</v>
      </c>
      <c r="I684">
        <v>2762.5</v>
      </c>
      <c r="J684">
        <v>446.48</v>
      </c>
    </row>
    <row r="685" spans="1:10" x14ac:dyDescent="0.25">
      <c r="A685" t="s">
        <v>981</v>
      </c>
      <c r="B685" s="1">
        <v>45865</v>
      </c>
      <c r="C685" t="s">
        <v>179</v>
      </c>
      <c r="D685" t="s">
        <v>19</v>
      </c>
      <c r="E685" t="s">
        <v>20</v>
      </c>
      <c r="F685" t="s">
        <v>38</v>
      </c>
      <c r="G685">
        <v>2</v>
      </c>
      <c r="H685">
        <v>0.1</v>
      </c>
      <c r="I685">
        <v>324</v>
      </c>
      <c r="J685">
        <v>42.12</v>
      </c>
    </row>
    <row r="686" spans="1:10" x14ac:dyDescent="0.25">
      <c r="A686" t="s">
        <v>982</v>
      </c>
      <c r="B686" s="1">
        <v>45865</v>
      </c>
      <c r="C686" t="s">
        <v>107</v>
      </c>
      <c r="D686" t="s">
        <v>81</v>
      </c>
      <c r="E686" t="s">
        <v>13</v>
      </c>
      <c r="F686" t="s">
        <v>29</v>
      </c>
      <c r="G686">
        <v>4</v>
      </c>
      <c r="H686">
        <v>0.15</v>
      </c>
      <c r="I686">
        <v>153</v>
      </c>
      <c r="J686">
        <v>14.48</v>
      </c>
    </row>
    <row r="687" spans="1:10" x14ac:dyDescent="0.25">
      <c r="A687" t="s">
        <v>983</v>
      </c>
      <c r="B687" s="1">
        <v>45865</v>
      </c>
      <c r="C687" t="s">
        <v>177</v>
      </c>
      <c r="D687" t="s">
        <v>91</v>
      </c>
      <c r="E687" t="s">
        <v>13</v>
      </c>
      <c r="F687" t="s">
        <v>38</v>
      </c>
      <c r="G687">
        <v>1</v>
      </c>
      <c r="H687">
        <v>0.05</v>
      </c>
      <c r="I687">
        <v>28.5</v>
      </c>
      <c r="J687">
        <v>8.32</v>
      </c>
    </row>
    <row r="688" spans="1:10" x14ac:dyDescent="0.25">
      <c r="A688" t="s">
        <v>984</v>
      </c>
      <c r="B688" s="1">
        <v>45866</v>
      </c>
      <c r="C688" t="s">
        <v>173</v>
      </c>
      <c r="D688" t="s">
        <v>24</v>
      </c>
      <c r="E688" t="s">
        <v>20</v>
      </c>
      <c r="F688" t="s">
        <v>29</v>
      </c>
      <c r="G688">
        <v>4</v>
      </c>
      <c r="H688">
        <v>0</v>
      </c>
      <c r="I688">
        <v>880</v>
      </c>
      <c r="J688">
        <v>217.03</v>
      </c>
    </row>
    <row r="689" spans="1:10" x14ac:dyDescent="0.25">
      <c r="A689" t="s">
        <v>985</v>
      </c>
      <c r="B689" s="1">
        <v>45866</v>
      </c>
      <c r="C689" t="s">
        <v>561</v>
      </c>
      <c r="D689" t="s">
        <v>91</v>
      </c>
      <c r="E689" t="s">
        <v>13</v>
      </c>
      <c r="F689" t="s">
        <v>29</v>
      </c>
      <c r="G689">
        <v>5</v>
      </c>
      <c r="H689">
        <v>0.05</v>
      </c>
      <c r="I689">
        <v>142.5</v>
      </c>
      <c r="J689">
        <v>29.5</v>
      </c>
    </row>
    <row r="690" spans="1:10" x14ac:dyDescent="0.25">
      <c r="A690" t="s">
        <v>986</v>
      </c>
      <c r="B690" s="1">
        <v>45866</v>
      </c>
      <c r="C690" t="s">
        <v>987</v>
      </c>
      <c r="D690" t="s">
        <v>27</v>
      </c>
      <c r="E690" t="s">
        <v>28</v>
      </c>
      <c r="F690" t="s">
        <v>29</v>
      </c>
      <c r="G690">
        <v>5</v>
      </c>
      <c r="H690">
        <v>0</v>
      </c>
      <c r="I690">
        <v>3250</v>
      </c>
      <c r="J690">
        <v>1173.3</v>
      </c>
    </row>
    <row r="691" spans="1:10" x14ac:dyDescent="0.25">
      <c r="A691" t="s">
        <v>988</v>
      </c>
      <c r="B691" s="1">
        <v>45867</v>
      </c>
      <c r="C691" t="s">
        <v>299</v>
      </c>
      <c r="D691" t="s">
        <v>73</v>
      </c>
      <c r="E691" t="s">
        <v>74</v>
      </c>
      <c r="F691" t="s">
        <v>29</v>
      </c>
      <c r="G691">
        <v>3</v>
      </c>
      <c r="H691">
        <v>0.2</v>
      </c>
      <c r="I691">
        <v>19.2</v>
      </c>
      <c r="J691">
        <v>3.16</v>
      </c>
    </row>
    <row r="692" spans="1:10" x14ac:dyDescent="0.25">
      <c r="A692" t="s">
        <v>989</v>
      </c>
      <c r="B692" s="1">
        <v>45867</v>
      </c>
      <c r="C692" t="s">
        <v>913</v>
      </c>
      <c r="D692" t="s">
        <v>27</v>
      </c>
      <c r="E692" t="s">
        <v>28</v>
      </c>
      <c r="F692" t="s">
        <v>21</v>
      </c>
      <c r="G692">
        <v>3</v>
      </c>
      <c r="H692">
        <v>0</v>
      </c>
      <c r="I692">
        <v>1950</v>
      </c>
      <c r="J692">
        <v>600.42999999999995</v>
      </c>
    </row>
    <row r="693" spans="1:10" x14ac:dyDescent="0.25">
      <c r="A693" t="s">
        <v>990</v>
      </c>
      <c r="B693" s="1">
        <v>45867</v>
      </c>
      <c r="C693" t="s">
        <v>638</v>
      </c>
      <c r="D693" t="s">
        <v>81</v>
      </c>
      <c r="E693" t="s">
        <v>13</v>
      </c>
      <c r="F693" t="s">
        <v>38</v>
      </c>
      <c r="G693">
        <v>2</v>
      </c>
      <c r="H693">
        <v>0.1</v>
      </c>
      <c r="I693">
        <v>81</v>
      </c>
      <c r="J693">
        <v>19.64</v>
      </c>
    </row>
    <row r="694" spans="1:10" x14ac:dyDescent="0.25">
      <c r="A694" t="s">
        <v>991</v>
      </c>
      <c r="B694" s="1">
        <v>45868</v>
      </c>
      <c r="C694" t="s">
        <v>667</v>
      </c>
      <c r="D694" t="s">
        <v>73</v>
      </c>
      <c r="E694" t="s">
        <v>74</v>
      </c>
      <c r="F694" t="s">
        <v>21</v>
      </c>
      <c r="G694">
        <v>3</v>
      </c>
      <c r="H694">
        <v>0.2</v>
      </c>
      <c r="I694">
        <v>19.2</v>
      </c>
      <c r="J694">
        <v>2.33</v>
      </c>
    </row>
    <row r="695" spans="1:10" x14ac:dyDescent="0.25">
      <c r="A695" t="s">
        <v>992</v>
      </c>
      <c r="B695" s="1">
        <v>45868</v>
      </c>
      <c r="C695" t="s">
        <v>331</v>
      </c>
      <c r="D695" t="s">
        <v>32</v>
      </c>
      <c r="E695" t="s">
        <v>28</v>
      </c>
      <c r="F695" t="s">
        <v>38</v>
      </c>
      <c r="G695">
        <v>1</v>
      </c>
      <c r="H695">
        <v>0</v>
      </c>
      <c r="I695">
        <v>500</v>
      </c>
      <c r="J695">
        <v>126.17</v>
      </c>
    </row>
    <row r="696" spans="1:10" x14ac:dyDescent="0.25">
      <c r="A696" t="s">
        <v>993</v>
      </c>
      <c r="B696" s="1">
        <v>45868</v>
      </c>
      <c r="C696" t="s">
        <v>846</v>
      </c>
      <c r="D696" t="s">
        <v>37</v>
      </c>
      <c r="E696" t="s">
        <v>28</v>
      </c>
      <c r="F696" t="s">
        <v>38</v>
      </c>
      <c r="G696">
        <v>2</v>
      </c>
      <c r="H696">
        <v>0</v>
      </c>
      <c r="I696">
        <v>160</v>
      </c>
      <c r="J696">
        <v>42.28</v>
      </c>
    </row>
    <row r="697" spans="1:10" x14ac:dyDescent="0.25">
      <c r="A697" t="s">
        <v>994</v>
      </c>
      <c r="B697" s="1">
        <v>45868</v>
      </c>
      <c r="C697" t="s">
        <v>228</v>
      </c>
      <c r="D697" t="s">
        <v>12</v>
      </c>
      <c r="E697" t="s">
        <v>13</v>
      </c>
      <c r="F697" t="s">
        <v>38</v>
      </c>
      <c r="G697">
        <v>3</v>
      </c>
      <c r="H697">
        <v>0.2</v>
      </c>
      <c r="I697">
        <v>132</v>
      </c>
      <c r="J697">
        <v>18.420000000000002</v>
      </c>
    </row>
    <row r="698" spans="1:10" x14ac:dyDescent="0.25">
      <c r="A698" t="s">
        <v>995</v>
      </c>
      <c r="B698" s="1">
        <v>45869</v>
      </c>
      <c r="C698" t="s">
        <v>956</v>
      </c>
      <c r="D698" t="s">
        <v>24</v>
      </c>
      <c r="E698" t="s">
        <v>20</v>
      </c>
      <c r="F698" t="s">
        <v>14</v>
      </c>
      <c r="G698">
        <v>3</v>
      </c>
      <c r="H698">
        <v>0.05</v>
      </c>
      <c r="I698">
        <v>627</v>
      </c>
      <c r="J698">
        <v>152.57</v>
      </c>
    </row>
    <row r="699" spans="1:10" x14ac:dyDescent="0.25">
      <c r="A699" t="s">
        <v>996</v>
      </c>
      <c r="B699" s="1">
        <v>45869</v>
      </c>
      <c r="C699" t="s">
        <v>341</v>
      </c>
      <c r="D699" t="s">
        <v>73</v>
      </c>
      <c r="E699" t="s">
        <v>74</v>
      </c>
      <c r="F699" t="s">
        <v>38</v>
      </c>
      <c r="G699">
        <v>4</v>
      </c>
      <c r="H699">
        <v>0.2</v>
      </c>
      <c r="I699">
        <v>25.6</v>
      </c>
      <c r="J699">
        <v>2.5299999999999998</v>
      </c>
    </row>
    <row r="700" spans="1:10" x14ac:dyDescent="0.25">
      <c r="A700" t="s">
        <v>997</v>
      </c>
      <c r="B700" s="1">
        <v>45869</v>
      </c>
      <c r="C700" t="s">
        <v>355</v>
      </c>
      <c r="D700" t="s">
        <v>37</v>
      </c>
      <c r="E700" t="s">
        <v>28</v>
      </c>
      <c r="F700" t="s">
        <v>14</v>
      </c>
      <c r="G700">
        <v>3</v>
      </c>
      <c r="H700">
        <v>0.1</v>
      </c>
      <c r="I700">
        <v>216</v>
      </c>
      <c r="J700">
        <v>49.29</v>
      </c>
    </row>
    <row r="701" spans="1:10" x14ac:dyDescent="0.25">
      <c r="A701" t="s">
        <v>998</v>
      </c>
      <c r="B701" s="1">
        <v>45870</v>
      </c>
      <c r="C701" t="s">
        <v>999</v>
      </c>
      <c r="D701" t="s">
        <v>24</v>
      </c>
      <c r="E701" t="s">
        <v>20</v>
      </c>
      <c r="F701" t="s">
        <v>21</v>
      </c>
      <c r="G701">
        <v>1</v>
      </c>
      <c r="H701">
        <v>0.1</v>
      </c>
      <c r="I701">
        <v>198</v>
      </c>
      <c r="J701">
        <v>18.73</v>
      </c>
    </row>
    <row r="702" spans="1:10" x14ac:dyDescent="0.25">
      <c r="A702" t="s">
        <v>1000</v>
      </c>
      <c r="B702" s="1">
        <v>45870</v>
      </c>
      <c r="C702" t="s">
        <v>1001</v>
      </c>
      <c r="D702" t="s">
        <v>81</v>
      </c>
      <c r="E702" t="s">
        <v>13</v>
      </c>
      <c r="F702" t="s">
        <v>38</v>
      </c>
      <c r="G702">
        <v>3</v>
      </c>
      <c r="H702">
        <v>0.1</v>
      </c>
      <c r="I702">
        <v>121.5</v>
      </c>
      <c r="J702">
        <v>15.92</v>
      </c>
    </row>
    <row r="703" spans="1:10" x14ac:dyDescent="0.25">
      <c r="A703" t="s">
        <v>1002</v>
      </c>
      <c r="B703" s="1">
        <v>45870</v>
      </c>
      <c r="C703" t="s">
        <v>350</v>
      </c>
      <c r="D703" t="s">
        <v>91</v>
      </c>
      <c r="E703" t="s">
        <v>13</v>
      </c>
      <c r="F703" t="s">
        <v>14</v>
      </c>
      <c r="G703">
        <v>4</v>
      </c>
      <c r="H703">
        <v>0</v>
      </c>
      <c r="I703">
        <v>120</v>
      </c>
      <c r="J703">
        <v>31.69</v>
      </c>
    </row>
    <row r="704" spans="1:10" x14ac:dyDescent="0.25">
      <c r="A704" t="s">
        <v>1003</v>
      </c>
      <c r="B704" s="1">
        <v>45871</v>
      </c>
      <c r="C704" t="s">
        <v>425</v>
      </c>
      <c r="D704" t="s">
        <v>37</v>
      </c>
      <c r="E704" t="s">
        <v>28</v>
      </c>
      <c r="F704" t="s">
        <v>38</v>
      </c>
      <c r="G704">
        <v>4</v>
      </c>
      <c r="H704">
        <v>0.1</v>
      </c>
      <c r="I704">
        <v>288</v>
      </c>
      <c r="J704">
        <v>88</v>
      </c>
    </row>
    <row r="705" spans="1:10" x14ac:dyDescent="0.25">
      <c r="A705" t="s">
        <v>1004</v>
      </c>
      <c r="B705" s="1">
        <v>45871</v>
      </c>
      <c r="C705" t="s">
        <v>774</v>
      </c>
      <c r="D705" t="s">
        <v>91</v>
      </c>
      <c r="E705" t="s">
        <v>13</v>
      </c>
      <c r="F705" t="s">
        <v>21</v>
      </c>
      <c r="G705">
        <v>4</v>
      </c>
      <c r="H705">
        <v>0.2</v>
      </c>
      <c r="I705">
        <v>96</v>
      </c>
      <c r="J705">
        <v>8.74</v>
      </c>
    </row>
    <row r="706" spans="1:10" x14ac:dyDescent="0.25">
      <c r="A706" t="s">
        <v>1005</v>
      </c>
      <c r="B706" s="1">
        <v>45871</v>
      </c>
      <c r="C706" t="s">
        <v>381</v>
      </c>
      <c r="D706" t="s">
        <v>37</v>
      </c>
      <c r="E706" t="s">
        <v>28</v>
      </c>
      <c r="F706" t="s">
        <v>38</v>
      </c>
      <c r="G706">
        <v>5</v>
      </c>
      <c r="H706">
        <v>0.15</v>
      </c>
      <c r="I706">
        <v>340</v>
      </c>
      <c r="J706">
        <v>40.590000000000003</v>
      </c>
    </row>
    <row r="707" spans="1:10" x14ac:dyDescent="0.25">
      <c r="A707" t="s">
        <v>1006</v>
      </c>
      <c r="B707" s="1">
        <v>45872</v>
      </c>
      <c r="C707" t="s">
        <v>246</v>
      </c>
      <c r="D707" t="s">
        <v>91</v>
      </c>
      <c r="E707" t="s">
        <v>13</v>
      </c>
      <c r="F707" t="s">
        <v>14</v>
      </c>
      <c r="G707">
        <v>4</v>
      </c>
      <c r="H707">
        <v>0.05</v>
      </c>
      <c r="I707">
        <v>114</v>
      </c>
      <c r="J707">
        <v>38.35</v>
      </c>
    </row>
    <row r="708" spans="1:10" x14ac:dyDescent="0.25">
      <c r="A708" t="s">
        <v>1007</v>
      </c>
      <c r="B708" s="1">
        <v>45872</v>
      </c>
      <c r="C708" t="s">
        <v>779</v>
      </c>
      <c r="D708" t="s">
        <v>91</v>
      </c>
      <c r="E708" t="s">
        <v>13</v>
      </c>
      <c r="F708" t="s">
        <v>38</v>
      </c>
      <c r="G708">
        <v>2</v>
      </c>
      <c r="H708">
        <v>0</v>
      </c>
      <c r="I708">
        <v>60</v>
      </c>
      <c r="J708">
        <v>15.52</v>
      </c>
    </row>
    <row r="709" spans="1:10" x14ac:dyDescent="0.25">
      <c r="A709" t="s">
        <v>1008</v>
      </c>
      <c r="B709" s="1">
        <v>45872</v>
      </c>
      <c r="C709" t="s">
        <v>859</v>
      </c>
      <c r="D709" t="s">
        <v>12</v>
      </c>
      <c r="E709" t="s">
        <v>13</v>
      </c>
      <c r="F709" t="s">
        <v>14</v>
      </c>
      <c r="G709">
        <v>5</v>
      </c>
      <c r="H709">
        <v>0.2</v>
      </c>
      <c r="I709">
        <v>220</v>
      </c>
      <c r="J709">
        <v>11.91</v>
      </c>
    </row>
    <row r="710" spans="1:10" x14ac:dyDescent="0.25">
      <c r="A710" t="s">
        <v>1009</v>
      </c>
      <c r="B710" s="1">
        <v>45872</v>
      </c>
      <c r="C710" t="s">
        <v>760</v>
      </c>
      <c r="D710" t="s">
        <v>12</v>
      </c>
      <c r="E710" t="s">
        <v>13</v>
      </c>
      <c r="F710" t="s">
        <v>14</v>
      </c>
      <c r="G710">
        <v>1</v>
      </c>
      <c r="H710">
        <v>0.2</v>
      </c>
      <c r="I710">
        <v>44</v>
      </c>
      <c r="J710">
        <v>9.57</v>
      </c>
    </row>
    <row r="711" spans="1:10" x14ac:dyDescent="0.25">
      <c r="A711" t="s">
        <v>1010</v>
      </c>
      <c r="B711" s="1">
        <v>45873</v>
      </c>
      <c r="C711" t="s">
        <v>64</v>
      </c>
      <c r="D711" t="s">
        <v>12</v>
      </c>
      <c r="E711" t="s">
        <v>13</v>
      </c>
      <c r="F711" t="s">
        <v>21</v>
      </c>
      <c r="G711">
        <v>1</v>
      </c>
      <c r="H711">
        <v>0.05</v>
      </c>
      <c r="I711">
        <v>52.25</v>
      </c>
      <c r="J711">
        <v>8.83</v>
      </c>
    </row>
    <row r="712" spans="1:10" x14ac:dyDescent="0.25">
      <c r="A712" t="s">
        <v>1011</v>
      </c>
      <c r="B712" s="1">
        <v>45873</v>
      </c>
      <c r="C712" t="s">
        <v>263</v>
      </c>
      <c r="D712" t="s">
        <v>19</v>
      </c>
      <c r="E712" t="s">
        <v>20</v>
      </c>
      <c r="F712" t="s">
        <v>29</v>
      </c>
      <c r="G712">
        <v>4</v>
      </c>
      <c r="H712">
        <v>0</v>
      </c>
      <c r="I712">
        <v>720</v>
      </c>
      <c r="J712">
        <v>133.15</v>
      </c>
    </row>
    <row r="713" spans="1:10" x14ac:dyDescent="0.25">
      <c r="A713" t="s">
        <v>1012</v>
      </c>
      <c r="B713" s="1">
        <v>45873</v>
      </c>
      <c r="C713" t="s">
        <v>1013</v>
      </c>
      <c r="D713" t="s">
        <v>73</v>
      </c>
      <c r="E713" t="s">
        <v>74</v>
      </c>
      <c r="F713" t="s">
        <v>29</v>
      </c>
      <c r="G713">
        <v>5</v>
      </c>
      <c r="H713">
        <v>0</v>
      </c>
      <c r="I713">
        <v>40</v>
      </c>
      <c r="J713">
        <v>12.12</v>
      </c>
    </row>
    <row r="714" spans="1:10" x14ac:dyDescent="0.25">
      <c r="A714" t="s">
        <v>1014</v>
      </c>
      <c r="B714" s="1">
        <v>45874</v>
      </c>
      <c r="C714" t="s">
        <v>378</v>
      </c>
      <c r="D714" t="s">
        <v>73</v>
      </c>
      <c r="E714" t="s">
        <v>74</v>
      </c>
      <c r="F714" t="s">
        <v>21</v>
      </c>
      <c r="G714">
        <v>2</v>
      </c>
      <c r="H714">
        <v>0.05</v>
      </c>
      <c r="I714">
        <v>15.2</v>
      </c>
      <c r="J714">
        <v>5.0999999999999996</v>
      </c>
    </row>
    <row r="715" spans="1:10" x14ac:dyDescent="0.25">
      <c r="A715" t="s">
        <v>1015</v>
      </c>
      <c r="B715" s="1">
        <v>45874</v>
      </c>
      <c r="C715" t="s">
        <v>742</v>
      </c>
      <c r="D715" t="s">
        <v>19</v>
      </c>
      <c r="E715" t="s">
        <v>20</v>
      </c>
      <c r="F715" t="s">
        <v>29</v>
      </c>
      <c r="G715">
        <v>5</v>
      </c>
      <c r="H715">
        <v>0.1</v>
      </c>
      <c r="I715">
        <v>810</v>
      </c>
      <c r="J715">
        <v>74.650000000000006</v>
      </c>
    </row>
    <row r="716" spans="1:10" x14ac:dyDescent="0.25">
      <c r="A716" t="s">
        <v>1016</v>
      </c>
      <c r="B716" s="1">
        <v>45874</v>
      </c>
      <c r="C716" t="s">
        <v>518</v>
      </c>
      <c r="D716" t="s">
        <v>91</v>
      </c>
      <c r="E716" t="s">
        <v>13</v>
      </c>
      <c r="F716" t="s">
        <v>29</v>
      </c>
      <c r="G716">
        <v>4</v>
      </c>
      <c r="H716">
        <v>0.05</v>
      </c>
      <c r="I716">
        <v>114</v>
      </c>
      <c r="J716">
        <v>20.440000000000001</v>
      </c>
    </row>
    <row r="717" spans="1:10" x14ac:dyDescent="0.25">
      <c r="A717" t="s">
        <v>1017</v>
      </c>
      <c r="B717" s="1">
        <v>45875</v>
      </c>
      <c r="C717" t="s">
        <v>97</v>
      </c>
      <c r="D717" t="s">
        <v>91</v>
      </c>
      <c r="E717" t="s">
        <v>13</v>
      </c>
      <c r="F717" t="s">
        <v>29</v>
      </c>
      <c r="G717">
        <v>5</v>
      </c>
      <c r="H717">
        <v>0</v>
      </c>
      <c r="I717">
        <v>150</v>
      </c>
      <c r="J717">
        <v>53.11</v>
      </c>
    </row>
    <row r="718" spans="1:10" x14ac:dyDescent="0.25">
      <c r="A718" t="s">
        <v>1018</v>
      </c>
      <c r="B718" s="1">
        <v>45875</v>
      </c>
      <c r="C718" t="s">
        <v>285</v>
      </c>
      <c r="D718" t="s">
        <v>27</v>
      </c>
      <c r="E718" t="s">
        <v>28</v>
      </c>
      <c r="F718" t="s">
        <v>21</v>
      </c>
      <c r="G718">
        <v>4</v>
      </c>
      <c r="H718">
        <v>0.1</v>
      </c>
      <c r="I718">
        <v>2340</v>
      </c>
      <c r="J718">
        <v>695.47</v>
      </c>
    </row>
    <row r="719" spans="1:10" x14ac:dyDescent="0.25">
      <c r="A719" t="s">
        <v>1019</v>
      </c>
      <c r="B719" s="1">
        <v>45875</v>
      </c>
      <c r="C719" t="s">
        <v>434</v>
      </c>
      <c r="D719" t="s">
        <v>81</v>
      </c>
      <c r="E719" t="s">
        <v>13</v>
      </c>
      <c r="F719" t="s">
        <v>21</v>
      </c>
      <c r="G719">
        <v>4</v>
      </c>
      <c r="H719">
        <v>0</v>
      </c>
      <c r="I719">
        <v>180</v>
      </c>
      <c r="J719">
        <v>56.06</v>
      </c>
    </row>
    <row r="720" spans="1:10" x14ac:dyDescent="0.25">
      <c r="A720" t="s">
        <v>1020</v>
      </c>
      <c r="B720" s="1">
        <v>45875</v>
      </c>
      <c r="C720" t="s">
        <v>175</v>
      </c>
      <c r="D720" t="s">
        <v>12</v>
      </c>
      <c r="E720" t="s">
        <v>13</v>
      </c>
      <c r="F720" t="s">
        <v>21</v>
      </c>
      <c r="G720">
        <v>3</v>
      </c>
      <c r="H720">
        <v>0.1</v>
      </c>
      <c r="I720">
        <v>148.5</v>
      </c>
      <c r="J720">
        <v>19.670000000000002</v>
      </c>
    </row>
    <row r="721" spans="1:10" x14ac:dyDescent="0.25">
      <c r="A721" t="s">
        <v>1021</v>
      </c>
      <c r="B721" s="1">
        <v>45876</v>
      </c>
      <c r="C721" t="s">
        <v>194</v>
      </c>
      <c r="D721" t="s">
        <v>73</v>
      </c>
      <c r="E721" t="s">
        <v>74</v>
      </c>
      <c r="F721" t="s">
        <v>14</v>
      </c>
      <c r="G721">
        <v>3</v>
      </c>
      <c r="H721">
        <v>0</v>
      </c>
      <c r="I721">
        <v>24</v>
      </c>
      <c r="J721">
        <v>8.2799999999999994</v>
      </c>
    </row>
    <row r="722" spans="1:10" x14ac:dyDescent="0.25">
      <c r="A722" t="s">
        <v>1022</v>
      </c>
      <c r="B722" s="1">
        <v>45876</v>
      </c>
      <c r="C722" t="s">
        <v>774</v>
      </c>
      <c r="D722" t="s">
        <v>12</v>
      </c>
      <c r="E722" t="s">
        <v>13</v>
      </c>
      <c r="F722" t="s">
        <v>21</v>
      </c>
      <c r="G722">
        <v>2</v>
      </c>
      <c r="H722">
        <v>0.15</v>
      </c>
      <c r="I722">
        <v>93.5</v>
      </c>
      <c r="J722">
        <v>24.05</v>
      </c>
    </row>
    <row r="723" spans="1:10" x14ac:dyDescent="0.25">
      <c r="A723" t="s">
        <v>1023</v>
      </c>
      <c r="B723" s="1">
        <v>45876</v>
      </c>
      <c r="C723" t="s">
        <v>145</v>
      </c>
      <c r="D723" t="s">
        <v>50</v>
      </c>
      <c r="E723" t="s">
        <v>28</v>
      </c>
      <c r="F723" t="s">
        <v>38</v>
      </c>
      <c r="G723">
        <v>5</v>
      </c>
      <c r="H723">
        <v>0.05</v>
      </c>
      <c r="I723">
        <v>1140</v>
      </c>
      <c r="J723">
        <v>264.66000000000003</v>
      </c>
    </row>
    <row r="724" spans="1:10" x14ac:dyDescent="0.25">
      <c r="A724" t="s">
        <v>1024</v>
      </c>
      <c r="B724" s="1">
        <v>45877</v>
      </c>
      <c r="C724" t="s">
        <v>95</v>
      </c>
      <c r="D724" t="s">
        <v>12</v>
      </c>
      <c r="E724" t="s">
        <v>13</v>
      </c>
      <c r="F724" t="s">
        <v>21</v>
      </c>
      <c r="G724">
        <v>5</v>
      </c>
      <c r="H724">
        <v>0.2</v>
      </c>
      <c r="I724">
        <v>220</v>
      </c>
      <c r="J724">
        <v>0.57999999999999996</v>
      </c>
    </row>
    <row r="725" spans="1:10" x14ac:dyDescent="0.25">
      <c r="A725" t="s">
        <v>1025</v>
      </c>
      <c r="B725" s="1">
        <v>45877</v>
      </c>
      <c r="C725" t="s">
        <v>878</v>
      </c>
      <c r="D725" t="s">
        <v>24</v>
      </c>
      <c r="E725" t="s">
        <v>20</v>
      </c>
      <c r="F725" t="s">
        <v>38</v>
      </c>
      <c r="G725">
        <v>2</v>
      </c>
      <c r="H725">
        <v>0.05</v>
      </c>
      <c r="I725">
        <v>418</v>
      </c>
      <c r="J725">
        <v>87.47</v>
      </c>
    </row>
    <row r="726" spans="1:10" x14ac:dyDescent="0.25">
      <c r="A726" t="s">
        <v>1026</v>
      </c>
      <c r="B726" s="1">
        <v>45877</v>
      </c>
      <c r="C726" t="s">
        <v>297</v>
      </c>
      <c r="D726" t="s">
        <v>12</v>
      </c>
      <c r="E726" t="s">
        <v>13</v>
      </c>
      <c r="F726" t="s">
        <v>29</v>
      </c>
      <c r="G726">
        <v>1</v>
      </c>
      <c r="H726">
        <v>0.15</v>
      </c>
      <c r="I726">
        <v>46.75</v>
      </c>
      <c r="J726">
        <v>8.18</v>
      </c>
    </row>
    <row r="727" spans="1:10" x14ac:dyDescent="0.25">
      <c r="A727" t="s">
        <v>1027</v>
      </c>
      <c r="B727" s="1">
        <v>45878</v>
      </c>
      <c r="C727" t="s">
        <v>462</v>
      </c>
      <c r="D727" t="s">
        <v>50</v>
      </c>
      <c r="E727" t="s">
        <v>28</v>
      </c>
      <c r="F727" t="s">
        <v>14</v>
      </c>
      <c r="G727">
        <v>5</v>
      </c>
      <c r="H727">
        <v>0.15</v>
      </c>
      <c r="I727">
        <v>1020</v>
      </c>
      <c r="J727">
        <v>79.709999999999994</v>
      </c>
    </row>
    <row r="728" spans="1:10" x14ac:dyDescent="0.25">
      <c r="A728" t="s">
        <v>1028</v>
      </c>
      <c r="B728" s="1">
        <v>45878</v>
      </c>
      <c r="C728" t="s">
        <v>575</v>
      </c>
      <c r="D728" t="s">
        <v>73</v>
      </c>
      <c r="E728" t="s">
        <v>74</v>
      </c>
      <c r="F728" t="s">
        <v>38</v>
      </c>
      <c r="G728">
        <v>4</v>
      </c>
      <c r="H728">
        <v>0.2</v>
      </c>
      <c r="I728">
        <v>25.6</v>
      </c>
      <c r="J728">
        <v>-0.21</v>
      </c>
    </row>
    <row r="729" spans="1:10" x14ac:dyDescent="0.25">
      <c r="A729" t="s">
        <v>1029</v>
      </c>
      <c r="B729" s="1">
        <v>45878</v>
      </c>
      <c r="C729" t="s">
        <v>31</v>
      </c>
      <c r="D729" t="s">
        <v>81</v>
      </c>
      <c r="E729" t="s">
        <v>13</v>
      </c>
      <c r="F729" t="s">
        <v>14</v>
      </c>
      <c r="G729">
        <v>4</v>
      </c>
      <c r="H729">
        <v>0</v>
      </c>
      <c r="I729">
        <v>180</v>
      </c>
      <c r="J729">
        <v>37.65</v>
      </c>
    </row>
    <row r="730" spans="1:10" x14ac:dyDescent="0.25">
      <c r="A730" t="s">
        <v>1030</v>
      </c>
      <c r="B730" s="1">
        <v>45879</v>
      </c>
      <c r="C730" t="s">
        <v>1031</v>
      </c>
      <c r="D730" t="s">
        <v>81</v>
      </c>
      <c r="E730" t="s">
        <v>13</v>
      </c>
      <c r="F730" t="s">
        <v>38</v>
      </c>
      <c r="G730">
        <v>2</v>
      </c>
      <c r="H730">
        <v>0.2</v>
      </c>
      <c r="I730">
        <v>72</v>
      </c>
      <c r="J730">
        <v>5.33</v>
      </c>
    </row>
    <row r="731" spans="1:10" x14ac:dyDescent="0.25">
      <c r="A731" t="s">
        <v>1032</v>
      </c>
      <c r="B731" s="1">
        <v>45879</v>
      </c>
      <c r="C731" t="s">
        <v>1033</v>
      </c>
      <c r="D731" t="s">
        <v>91</v>
      </c>
      <c r="E731" t="s">
        <v>13</v>
      </c>
      <c r="F731" t="s">
        <v>38</v>
      </c>
      <c r="G731">
        <v>1</v>
      </c>
      <c r="H731">
        <v>0.15</v>
      </c>
      <c r="I731">
        <v>25.5</v>
      </c>
      <c r="J731">
        <v>5.38</v>
      </c>
    </row>
    <row r="732" spans="1:10" x14ac:dyDescent="0.25">
      <c r="A732" t="s">
        <v>1034</v>
      </c>
      <c r="B732" s="1">
        <v>45879</v>
      </c>
      <c r="C732" t="s">
        <v>563</v>
      </c>
      <c r="D732" t="s">
        <v>27</v>
      </c>
      <c r="E732" t="s">
        <v>28</v>
      </c>
      <c r="F732" t="s">
        <v>29</v>
      </c>
      <c r="G732">
        <v>3</v>
      </c>
      <c r="H732">
        <v>0.15</v>
      </c>
      <c r="I732">
        <v>1657.5</v>
      </c>
      <c r="J732">
        <v>138.09</v>
      </c>
    </row>
    <row r="733" spans="1:10" x14ac:dyDescent="0.25">
      <c r="A733" t="s">
        <v>1035</v>
      </c>
      <c r="B733" s="1">
        <v>45879</v>
      </c>
      <c r="C733" t="s">
        <v>181</v>
      </c>
      <c r="D733" t="s">
        <v>50</v>
      </c>
      <c r="E733" t="s">
        <v>28</v>
      </c>
      <c r="F733" t="s">
        <v>38</v>
      </c>
      <c r="G733">
        <v>1</v>
      </c>
      <c r="H733">
        <v>0.05</v>
      </c>
      <c r="I733">
        <v>228</v>
      </c>
      <c r="J733">
        <v>54.24</v>
      </c>
    </row>
    <row r="734" spans="1:10" x14ac:dyDescent="0.25">
      <c r="A734" t="s">
        <v>1036</v>
      </c>
      <c r="B734" s="1">
        <v>45880</v>
      </c>
      <c r="C734" t="s">
        <v>506</v>
      </c>
      <c r="D734" t="s">
        <v>81</v>
      </c>
      <c r="E734" t="s">
        <v>13</v>
      </c>
      <c r="F734" t="s">
        <v>14</v>
      </c>
      <c r="G734">
        <v>4</v>
      </c>
      <c r="H734">
        <v>0</v>
      </c>
      <c r="I734">
        <v>180</v>
      </c>
      <c r="J734">
        <v>37.06</v>
      </c>
    </row>
    <row r="735" spans="1:10" x14ac:dyDescent="0.25">
      <c r="A735" t="s">
        <v>1037</v>
      </c>
      <c r="B735" s="1">
        <v>45880</v>
      </c>
      <c r="C735" t="s">
        <v>263</v>
      </c>
      <c r="D735" t="s">
        <v>19</v>
      </c>
      <c r="E735" t="s">
        <v>20</v>
      </c>
      <c r="F735" t="s">
        <v>29</v>
      </c>
      <c r="G735">
        <v>4</v>
      </c>
      <c r="H735">
        <v>0.15</v>
      </c>
      <c r="I735">
        <v>612</v>
      </c>
      <c r="J735">
        <v>143.71</v>
      </c>
    </row>
    <row r="736" spans="1:10" x14ac:dyDescent="0.25">
      <c r="A736" t="s">
        <v>1038</v>
      </c>
      <c r="B736" s="1">
        <v>45880</v>
      </c>
      <c r="C736" t="s">
        <v>135</v>
      </c>
      <c r="D736" t="s">
        <v>73</v>
      </c>
      <c r="E736" t="s">
        <v>74</v>
      </c>
      <c r="F736" t="s">
        <v>38</v>
      </c>
      <c r="G736">
        <v>2</v>
      </c>
      <c r="H736">
        <v>0.2</v>
      </c>
      <c r="I736">
        <v>12.8</v>
      </c>
      <c r="J736">
        <v>-0.14000000000000001</v>
      </c>
    </row>
    <row r="737" spans="1:10" x14ac:dyDescent="0.25">
      <c r="A737" t="s">
        <v>1039</v>
      </c>
      <c r="B737" s="1">
        <v>45881</v>
      </c>
      <c r="C737" t="s">
        <v>495</v>
      </c>
      <c r="D737" t="s">
        <v>73</v>
      </c>
      <c r="E737" t="s">
        <v>74</v>
      </c>
      <c r="F737" t="s">
        <v>14</v>
      </c>
      <c r="G737">
        <v>3</v>
      </c>
      <c r="H737">
        <v>0.1</v>
      </c>
      <c r="I737">
        <v>21.6</v>
      </c>
      <c r="J737">
        <v>6.69</v>
      </c>
    </row>
    <row r="738" spans="1:10" x14ac:dyDescent="0.25">
      <c r="A738" t="s">
        <v>1040</v>
      </c>
      <c r="B738" s="1">
        <v>45881</v>
      </c>
      <c r="C738" t="s">
        <v>293</v>
      </c>
      <c r="D738" t="s">
        <v>12</v>
      </c>
      <c r="E738" t="s">
        <v>13</v>
      </c>
      <c r="F738" t="s">
        <v>38</v>
      </c>
      <c r="G738">
        <v>2</v>
      </c>
      <c r="H738">
        <v>0.15</v>
      </c>
      <c r="I738">
        <v>93.5</v>
      </c>
      <c r="J738">
        <v>14.02</v>
      </c>
    </row>
    <row r="739" spans="1:10" x14ac:dyDescent="0.25">
      <c r="A739" t="s">
        <v>1041</v>
      </c>
      <c r="B739" s="1">
        <v>45881</v>
      </c>
      <c r="C739" t="s">
        <v>314</v>
      </c>
      <c r="D739" t="s">
        <v>37</v>
      </c>
      <c r="E739" t="s">
        <v>28</v>
      </c>
      <c r="F739" t="s">
        <v>14</v>
      </c>
      <c r="G739">
        <v>5</v>
      </c>
      <c r="H739">
        <v>0.1</v>
      </c>
      <c r="I739">
        <v>360</v>
      </c>
      <c r="J739">
        <v>73.94</v>
      </c>
    </row>
    <row r="740" spans="1:10" x14ac:dyDescent="0.25">
      <c r="A740" t="s">
        <v>1042</v>
      </c>
      <c r="B740" s="1">
        <v>45882</v>
      </c>
      <c r="C740" t="s">
        <v>371</v>
      </c>
      <c r="D740" t="s">
        <v>24</v>
      </c>
      <c r="E740" t="s">
        <v>20</v>
      </c>
      <c r="F740" t="s">
        <v>29</v>
      </c>
      <c r="G740">
        <v>1</v>
      </c>
      <c r="H740">
        <v>0.1</v>
      </c>
      <c r="I740">
        <v>198</v>
      </c>
      <c r="J740">
        <v>34.53</v>
      </c>
    </row>
    <row r="741" spans="1:10" x14ac:dyDescent="0.25">
      <c r="A741" t="s">
        <v>1043</v>
      </c>
      <c r="B741" s="1">
        <v>45882</v>
      </c>
      <c r="C741" t="s">
        <v>139</v>
      </c>
      <c r="D741" t="s">
        <v>73</v>
      </c>
      <c r="E741" t="s">
        <v>74</v>
      </c>
      <c r="F741" t="s">
        <v>21</v>
      </c>
      <c r="G741">
        <v>4</v>
      </c>
      <c r="H741">
        <v>0.1</v>
      </c>
      <c r="I741">
        <v>28.8</v>
      </c>
      <c r="J741">
        <v>8.64</v>
      </c>
    </row>
    <row r="742" spans="1:10" x14ac:dyDescent="0.25">
      <c r="A742" t="s">
        <v>1044</v>
      </c>
      <c r="B742" s="1">
        <v>45882</v>
      </c>
      <c r="C742" t="s">
        <v>202</v>
      </c>
      <c r="D742" t="s">
        <v>27</v>
      </c>
      <c r="E742" t="s">
        <v>28</v>
      </c>
      <c r="F742" t="s">
        <v>29</v>
      </c>
      <c r="G742">
        <v>1</v>
      </c>
      <c r="H742">
        <v>0.05</v>
      </c>
      <c r="I742">
        <v>617.5</v>
      </c>
      <c r="J742">
        <v>105.41</v>
      </c>
    </row>
    <row r="743" spans="1:10" x14ac:dyDescent="0.25">
      <c r="A743" t="s">
        <v>1045</v>
      </c>
      <c r="B743" s="1">
        <v>45882</v>
      </c>
      <c r="C743" t="s">
        <v>443</v>
      </c>
      <c r="D743" t="s">
        <v>32</v>
      </c>
      <c r="E743" t="s">
        <v>28</v>
      </c>
      <c r="F743" t="s">
        <v>29</v>
      </c>
      <c r="G743">
        <v>3</v>
      </c>
      <c r="H743">
        <v>0.05</v>
      </c>
      <c r="I743">
        <v>1425</v>
      </c>
      <c r="J743">
        <v>423.76</v>
      </c>
    </row>
    <row r="744" spans="1:10" x14ac:dyDescent="0.25">
      <c r="A744" t="s">
        <v>1046</v>
      </c>
      <c r="B744" s="1">
        <v>45883</v>
      </c>
      <c r="C744" t="s">
        <v>406</v>
      </c>
      <c r="D744" t="s">
        <v>27</v>
      </c>
      <c r="E744" t="s">
        <v>28</v>
      </c>
      <c r="F744" t="s">
        <v>38</v>
      </c>
      <c r="G744">
        <v>5</v>
      </c>
      <c r="H744">
        <v>0</v>
      </c>
      <c r="I744">
        <v>3250</v>
      </c>
      <c r="J744">
        <v>839.59</v>
      </c>
    </row>
    <row r="745" spans="1:10" x14ac:dyDescent="0.25">
      <c r="A745" t="s">
        <v>1047</v>
      </c>
      <c r="B745" s="1">
        <v>45883</v>
      </c>
      <c r="C745" t="s">
        <v>1048</v>
      </c>
      <c r="D745" t="s">
        <v>27</v>
      </c>
      <c r="E745" t="s">
        <v>28</v>
      </c>
      <c r="F745" t="s">
        <v>38</v>
      </c>
      <c r="G745">
        <v>3</v>
      </c>
      <c r="H745">
        <v>0.15</v>
      </c>
      <c r="I745">
        <v>1657.5</v>
      </c>
      <c r="J745">
        <v>295.58</v>
      </c>
    </row>
    <row r="746" spans="1:10" x14ac:dyDescent="0.25">
      <c r="A746" t="s">
        <v>1049</v>
      </c>
      <c r="B746" s="1">
        <v>45883</v>
      </c>
      <c r="C746" t="s">
        <v>752</v>
      </c>
      <c r="D746" t="s">
        <v>27</v>
      </c>
      <c r="E746" t="s">
        <v>28</v>
      </c>
      <c r="F746" t="s">
        <v>21</v>
      </c>
      <c r="G746">
        <v>1</v>
      </c>
      <c r="H746">
        <v>0</v>
      </c>
      <c r="I746">
        <v>650</v>
      </c>
      <c r="J746">
        <v>158.94</v>
      </c>
    </row>
    <row r="747" spans="1:10" x14ac:dyDescent="0.25">
      <c r="A747" t="s">
        <v>1050</v>
      </c>
      <c r="B747" s="1">
        <v>45884</v>
      </c>
      <c r="C747" t="s">
        <v>1031</v>
      </c>
      <c r="D747" t="s">
        <v>81</v>
      </c>
      <c r="E747" t="s">
        <v>13</v>
      </c>
      <c r="F747" t="s">
        <v>14</v>
      </c>
      <c r="G747">
        <v>2</v>
      </c>
      <c r="H747">
        <v>0.05</v>
      </c>
      <c r="I747">
        <v>85.5</v>
      </c>
      <c r="J747">
        <v>16.21</v>
      </c>
    </row>
    <row r="748" spans="1:10" x14ac:dyDescent="0.25">
      <c r="A748" t="s">
        <v>1051</v>
      </c>
      <c r="B748" s="1">
        <v>45884</v>
      </c>
      <c r="C748" t="s">
        <v>206</v>
      </c>
      <c r="D748" t="s">
        <v>27</v>
      </c>
      <c r="E748" t="s">
        <v>28</v>
      </c>
      <c r="F748" t="s">
        <v>38</v>
      </c>
      <c r="G748">
        <v>3</v>
      </c>
      <c r="H748">
        <v>0.05</v>
      </c>
      <c r="I748">
        <v>1852.5</v>
      </c>
      <c r="J748">
        <v>529.41999999999996</v>
      </c>
    </row>
    <row r="749" spans="1:10" x14ac:dyDescent="0.25">
      <c r="A749" t="s">
        <v>1052</v>
      </c>
      <c r="B749" s="1">
        <v>45884</v>
      </c>
      <c r="C749" t="s">
        <v>1053</v>
      </c>
      <c r="D749" t="s">
        <v>37</v>
      </c>
      <c r="E749" t="s">
        <v>28</v>
      </c>
      <c r="F749" t="s">
        <v>38</v>
      </c>
      <c r="G749">
        <v>3</v>
      </c>
      <c r="H749">
        <v>0.1</v>
      </c>
      <c r="I749">
        <v>216</v>
      </c>
      <c r="J749">
        <v>38.53</v>
      </c>
    </row>
    <row r="750" spans="1:10" x14ac:dyDescent="0.25">
      <c r="A750" t="s">
        <v>1054</v>
      </c>
      <c r="B750" s="1">
        <v>45885</v>
      </c>
      <c r="C750" t="s">
        <v>322</v>
      </c>
      <c r="D750" t="s">
        <v>91</v>
      </c>
      <c r="E750" t="s">
        <v>13</v>
      </c>
      <c r="F750" t="s">
        <v>29</v>
      </c>
      <c r="G750">
        <v>4</v>
      </c>
      <c r="H750">
        <v>0.15</v>
      </c>
      <c r="I750">
        <v>102</v>
      </c>
      <c r="J750">
        <v>4.87</v>
      </c>
    </row>
    <row r="751" spans="1:10" x14ac:dyDescent="0.25">
      <c r="A751" t="s">
        <v>1055</v>
      </c>
      <c r="B751" s="1">
        <v>45885</v>
      </c>
      <c r="C751" t="s">
        <v>1056</v>
      </c>
      <c r="D751" t="s">
        <v>81</v>
      </c>
      <c r="E751" t="s">
        <v>13</v>
      </c>
      <c r="F751" t="s">
        <v>29</v>
      </c>
      <c r="G751">
        <v>2</v>
      </c>
      <c r="H751">
        <v>0.2</v>
      </c>
      <c r="I751">
        <v>72</v>
      </c>
      <c r="J751">
        <v>10.08</v>
      </c>
    </row>
    <row r="752" spans="1:10" x14ac:dyDescent="0.25">
      <c r="A752" t="s">
        <v>1057</v>
      </c>
      <c r="B752" s="1">
        <v>45885</v>
      </c>
      <c r="C752" t="s">
        <v>806</v>
      </c>
      <c r="D752" t="s">
        <v>73</v>
      </c>
      <c r="E752" t="s">
        <v>74</v>
      </c>
      <c r="F752" t="s">
        <v>21</v>
      </c>
      <c r="G752">
        <v>1</v>
      </c>
      <c r="H752">
        <v>0.1</v>
      </c>
      <c r="I752">
        <v>7.2</v>
      </c>
      <c r="J752">
        <v>1.24</v>
      </c>
    </row>
    <row r="753" spans="1:10" x14ac:dyDescent="0.25">
      <c r="A753" t="s">
        <v>1058</v>
      </c>
      <c r="B753" s="1">
        <v>45885</v>
      </c>
      <c r="C753" t="s">
        <v>742</v>
      </c>
      <c r="D753" t="s">
        <v>32</v>
      </c>
      <c r="E753" t="s">
        <v>28</v>
      </c>
      <c r="F753" t="s">
        <v>14</v>
      </c>
      <c r="G753">
        <v>3</v>
      </c>
      <c r="H753">
        <v>0.15</v>
      </c>
      <c r="I753">
        <v>1275</v>
      </c>
      <c r="J753">
        <v>318.3</v>
      </c>
    </row>
    <row r="754" spans="1:10" x14ac:dyDescent="0.25">
      <c r="A754" t="s">
        <v>1059</v>
      </c>
      <c r="B754" s="1">
        <v>45886</v>
      </c>
      <c r="C754" t="s">
        <v>289</v>
      </c>
      <c r="D754" t="s">
        <v>91</v>
      </c>
      <c r="E754" t="s">
        <v>13</v>
      </c>
      <c r="F754" t="s">
        <v>38</v>
      </c>
      <c r="G754">
        <v>2</v>
      </c>
      <c r="H754">
        <v>0.2</v>
      </c>
      <c r="I754">
        <v>48</v>
      </c>
      <c r="J754">
        <v>10.06</v>
      </c>
    </row>
    <row r="755" spans="1:10" x14ac:dyDescent="0.25">
      <c r="A755" t="s">
        <v>1060</v>
      </c>
      <c r="B755" s="1">
        <v>45886</v>
      </c>
      <c r="C755" t="s">
        <v>352</v>
      </c>
      <c r="D755" t="s">
        <v>91</v>
      </c>
      <c r="E755" t="s">
        <v>13</v>
      </c>
      <c r="F755" t="s">
        <v>14</v>
      </c>
      <c r="G755">
        <v>4</v>
      </c>
      <c r="H755">
        <v>0.05</v>
      </c>
      <c r="I755">
        <v>114</v>
      </c>
      <c r="J755">
        <v>31.41</v>
      </c>
    </row>
    <row r="756" spans="1:10" x14ac:dyDescent="0.25">
      <c r="A756" t="s">
        <v>1061</v>
      </c>
      <c r="B756" s="1">
        <v>45886</v>
      </c>
      <c r="C756" t="s">
        <v>252</v>
      </c>
      <c r="D756" t="s">
        <v>37</v>
      </c>
      <c r="E756" t="s">
        <v>28</v>
      </c>
      <c r="F756" t="s">
        <v>21</v>
      </c>
      <c r="G756">
        <v>3</v>
      </c>
      <c r="H756">
        <v>0</v>
      </c>
      <c r="I756">
        <v>240</v>
      </c>
      <c r="J756">
        <v>68.59</v>
      </c>
    </row>
    <row r="757" spans="1:10" x14ac:dyDescent="0.25">
      <c r="A757" t="s">
        <v>1062</v>
      </c>
      <c r="B757" s="1">
        <v>45887</v>
      </c>
      <c r="C757" t="s">
        <v>115</v>
      </c>
      <c r="D757" t="s">
        <v>19</v>
      </c>
      <c r="E757" t="s">
        <v>20</v>
      </c>
      <c r="F757" t="s">
        <v>21</v>
      </c>
      <c r="G757">
        <v>2</v>
      </c>
      <c r="H757">
        <v>0</v>
      </c>
      <c r="I757">
        <v>360</v>
      </c>
      <c r="J757">
        <v>115.61</v>
      </c>
    </row>
    <row r="758" spans="1:10" x14ac:dyDescent="0.25">
      <c r="A758" t="s">
        <v>1063</v>
      </c>
      <c r="B758" s="1">
        <v>45887</v>
      </c>
      <c r="C758" t="s">
        <v>224</v>
      </c>
      <c r="D758" t="s">
        <v>27</v>
      </c>
      <c r="E758" t="s">
        <v>28</v>
      </c>
      <c r="F758" t="s">
        <v>38</v>
      </c>
      <c r="G758">
        <v>3</v>
      </c>
      <c r="H758">
        <v>0</v>
      </c>
      <c r="I758">
        <v>1950</v>
      </c>
      <c r="J758">
        <v>482.23</v>
      </c>
    </row>
    <row r="759" spans="1:10" x14ac:dyDescent="0.25">
      <c r="A759" t="s">
        <v>1064</v>
      </c>
      <c r="B759" s="1">
        <v>45887</v>
      </c>
      <c r="C759" t="s">
        <v>336</v>
      </c>
      <c r="D759" t="s">
        <v>37</v>
      </c>
      <c r="E759" t="s">
        <v>28</v>
      </c>
      <c r="F759" t="s">
        <v>29</v>
      </c>
      <c r="G759">
        <v>2</v>
      </c>
      <c r="H759">
        <v>0.15</v>
      </c>
      <c r="I759">
        <v>136</v>
      </c>
      <c r="J759">
        <v>7.71</v>
      </c>
    </row>
    <row r="760" spans="1:10" x14ac:dyDescent="0.25">
      <c r="A760" t="s">
        <v>1065</v>
      </c>
      <c r="B760" s="1">
        <v>45888</v>
      </c>
      <c r="C760" t="s">
        <v>206</v>
      </c>
      <c r="D760" t="s">
        <v>12</v>
      </c>
      <c r="E760" t="s">
        <v>13</v>
      </c>
      <c r="F760" t="s">
        <v>14</v>
      </c>
      <c r="G760">
        <v>1</v>
      </c>
      <c r="H760">
        <v>0.05</v>
      </c>
      <c r="I760">
        <v>52.25</v>
      </c>
      <c r="J760">
        <v>10.119999999999999</v>
      </c>
    </row>
    <row r="761" spans="1:10" x14ac:dyDescent="0.25">
      <c r="A761" t="s">
        <v>1066</v>
      </c>
      <c r="B761" s="1">
        <v>45888</v>
      </c>
      <c r="C761" t="s">
        <v>18</v>
      </c>
      <c r="D761" t="s">
        <v>19</v>
      </c>
      <c r="E761" t="s">
        <v>20</v>
      </c>
      <c r="F761" t="s">
        <v>14</v>
      </c>
      <c r="G761">
        <v>1</v>
      </c>
      <c r="H761">
        <v>0.15</v>
      </c>
      <c r="I761">
        <v>153</v>
      </c>
      <c r="J761">
        <v>35.159999999999997</v>
      </c>
    </row>
    <row r="762" spans="1:10" x14ac:dyDescent="0.25">
      <c r="A762" t="s">
        <v>1067</v>
      </c>
      <c r="B762" s="1">
        <v>45888</v>
      </c>
      <c r="C762" t="s">
        <v>571</v>
      </c>
      <c r="D762" t="s">
        <v>73</v>
      </c>
      <c r="E762" t="s">
        <v>74</v>
      </c>
      <c r="F762" t="s">
        <v>14</v>
      </c>
      <c r="G762">
        <v>2</v>
      </c>
      <c r="H762">
        <v>0</v>
      </c>
      <c r="I762">
        <v>16</v>
      </c>
      <c r="J762">
        <v>3.73</v>
      </c>
    </row>
    <row r="763" spans="1:10" x14ac:dyDescent="0.25">
      <c r="A763" t="s">
        <v>1068</v>
      </c>
      <c r="B763" s="1">
        <v>45889</v>
      </c>
      <c r="C763" t="s">
        <v>101</v>
      </c>
      <c r="D763" t="s">
        <v>91</v>
      </c>
      <c r="E763" t="s">
        <v>13</v>
      </c>
      <c r="F763" t="s">
        <v>29</v>
      </c>
      <c r="G763">
        <v>1</v>
      </c>
      <c r="H763">
        <v>0.05</v>
      </c>
      <c r="I763">
        <v>28.5</v>
      </c>
      <c r="J763">
        <v>7.77</v>
      </c>
    </row>
    <row r="764" spans="1:10" x14ac:dyDescent="0.25">
      <c r="A764" t="s">
        <v>1069</v>
      </c>
      <c r="B764" s="1">
        <v>45889</v>
      </c>
      <c r="C764" t="s">
        <v>208</v>
      </c>
      <c r="D764" t="s">
        <v>12</v>
      </c>
      <c r="E764" t="s">
        <v>13</v>
      </c>
      <c r="F764" t="s">
        <v>21</v>
      </c>
      <c r="G764">
        <v>4</v>
      </c>
      <c r="H764">
        <v>0.1</v>
      </c>
      <c r="I764">
        <v>198</v>
      </c>
      <c r="J764">
        <v>56.94</v>
      </c>
    </row>
    <row r="765" spans="1:10" x14ac:dyDescent="0.25">
      <c r="A765" t="s">
        <v>1070</v>
      </c>
      <c r="B765" s="1">
        <v>45889</v>
      </c>
      <c r="C765" t="s">
        <v>139</v>
      </c>
      <c r="D765" t="s">
        <v>91</v>
      </c>
      <c r="E765" t="s">
        <v>13</v>
      </c>
      <c r="F765" t="s">
        <v>14</v>
      </c>
      <c r="G765">
        <v>3</v>
      </c>
      <c r="H765">
        <v>0.05</v>
      </c>
      <c r="I765">
        <v>85.5</v>
      </c>
      <c r="J765">
        <v>19.61</v>
      </c>
    </row>
    <row r="766" spans="1:10" x14ac:dyDescent="0.25">
      <c r="A766" t="s">
        <v>1071</v>
      </c>
      <c r="B766" s="1">
        <v>45889</v>
      </c>
      <c r="C766" t="s">
        <v>352</v>
      </c>
      <c r="D766" t="s">
        <v>91</v>
      </c>
      <c r="E766" t="s">
        <v>13</v>
      </c>
      <c r="F766" t="s">
        <v>14</v>
      </c>
      <c r="G766">
        <v>3</v>
      </c>
      <c r="H766">
        <v>0.15</v>
      </c>
      <c r="I766">
        <v>76.5</v>
      </c>
      <c r="J766">
        <v>18.82</v>
      </c>
    </row>
    <row r="767" spans="1:10" x14ac:dyDescent="0.25">
      <c r="A767" t="s">
        <v>1072</v>
      </c>
      <c r="B767" s="1">
        <v>45890</v>
      </c>
      <c r="C767" t="s">
        <v>228</v>
      </c>
      <c r="D767" t="s">
        <v>12</v>
      </c>
      <c r="E767" t="s">
        <v>13</v>
      </c>
      <c r="F767" t="s">
        <v>14</v>
      </c>
      <c r="G767">
        <v>5</v>
      </c>
      <c r="H767">
        <v>0</v>
      </c>
      <c r="I767">
        <v>275</v>
      </c>
      <c r="J767">
        <v>50.57</v>
      </c>
    </row>
    <row r="768" spans="1:10" x14ac:dyDescent="0.25">
      <c r="A768" t="s">
        <v>1073</v>
      </c>
      <c r="B768" s="1">
        <v>45890</v>
      </c>
      <c r="C768" t="s">
        <v>1074</v>
      </c>
      <c r="D768" t="s">
        <v>37</v>
      </c>
      <c r="E768" t="s">
        <v>28</v>
      </c>
      <c r="F768" t="s">
        <v>29</v>
      </c>
      <c r="G768">
        <v>1</v>
      </c>
      <c r="H768">
        <v>0.1</v>
      </c>
      <c r="I768">
        <v>72</v>
      </c>
      <c r="J768">
        <v>12.53</v>
      </c>
    </row>
    <row r="769" spans="1:10" x14ac:dyDescent="0.25">
      <c r="A769" t="s">
        <v>1075</v>
      </c>
      <c r="B769" s="1">
        <v>45890</v>
      </c>
      <c r="C769" t="s">
        <v>155</v>
      </c>
      <c r="D769" t="s">
        <v>12</v>
      </c>
      <c r="E769" t="s">
        <v>13</v>
      </c>
      <c r="F769" t="s">
        <v>21</v>
      </c>
      <c r="G769">
        <v>2</v>
      </c>
      <c r="H769">
        <v>0.15</v>
      </c>
      <c r="I769">
        <v>93.5</v>
      </c>
      <c r="J769">
        <v>8.84</v>
      </c>
    </row>
    <row r="770" spans="1:10" x14ac:dyDescent="0.25">
      <c r="A770" t="s">
        <v>1076</v>
      </c>
      <c r="B770" s="1">
        <v>45891</v>
      </c>
      <c r="C770" t="s">
        <v>162</v>
      </c>
      <c r="D770" t="s">
        <v>50</v>
      </c>
      <c r="E770" t="s">
        <v>28</v>
      </c>
      <c r="F770" t="s">
        <v>38</v>
      </c>
      <c r="G770">
        <v>2</v>
      </c>
      <c r="H770">
        <v>0.05</v>
      </c>
      <c r="I770">
        <v>456</v>
      </c>
      <c r="J770">
        <v>125.04</v>
      </c>
    </row>
    <row r="771" spans="1:10" x14ac:dyDescent="0.25">
      <c r="A771" t="s">
        <v>1077</v>
      </c>
      <c r="B771" s="1">
        <v>45891</v>
      </c>
      <c r="C771" t="s">
        <v>273</v>
      </c>
      <c r="D771" t="s">
        <v>19</v>
      </c>
      <c r="E771" t="s">
        <v>20</v>
      </c>
      <c r="F771" t="s">
        <v>14</v>
      </c>
      <c r="G771">
        <v>1</v>
      </c>
      <c r="H771">
        <v>0.1</v>
      </c>
      <c r="I771">
        <v>162</v>
      </c>
      <c r="J771">
        <v>33.909999999999997</v>
      </c>
    </row>
    <row r="772" spans="1:10" x14ac:dyDescent="0.25">
      <c r="A772" t="s">
        <v>1078</v>
      </c>
      <c r="B772" s="1">
        <v>45891</v>
      </c>
      <c r="C772" t="s">
        <v>350</v>
      </c>
      <c r="D772" t="s">
        <v>27</v>
      </c>
      <c r="E772" t="s">
        <v>28</v>
      </c>
      <c r="F772" t="s">
        <v>21</v>
      </c>
      <c r="G772">
        <v>1</v>
      </c>
      <c r="H772">
        <v>0</v>
      </c>
      <c r="I772">
        <v>650</v>
      </c>
      <c r="J772">
        <v>157.46</v>
      </c>
    </row>
    <row r="773" spans="1:10" x14ac:dyDescent="0.25">
      <c r="A773" t="s">
        <v>1079</v>
      </c>
      <c r="B773" s="1">
        <v>45892</v>
      </c>
      <c r="C773" t="s">
        <v>493</v>
      </c>
      <c r="D773" t="s">
        <v>81</v>
      </c>
      <c r="E773" t="s">
        <v>13</v>
      </c>
      <c r="F773" t="s">
        <v>14</v>
      </c>
      <c r="G773">
        <v>3</v>
      </c>
      <c r="H773">
        <v>0.05</v>
      </c>
      <c r="I773">
        <v>128.25</v>
      </c>
      <c r="J773">
        <v>34.76</v>
      </c>
    </row>
    <row r="774" spans="1:10" x14ac:dyDescent="0.25">
      <c r="A774" t="s">
        <v>1080</v>
      </c>
      <c r="B774" s="1">
        <v>45892</v>
      </c>
      <c r="C774" t="s">
        <v>895</v>
      </c>
      <c r="D774" t="s">
        <v>27</v>
      </c>
      <c r="E774" t="s">
        <v>28</v>
      </c>
      <c r="F774" t="s">
        <v>14</v>
      </c>
      <c r="G774">
        <v>2</v>
      </c>
      <c r="H774">
        <v>0</v>
      </c>
      <c r="I774">
        <v>1300</v>
      </c>
      <c r="J774">
        <v>277.01</v>
      </c>
    </row>
    <row r="775" spans="1:10" x14ac:dyDescent="0.25">
      <c r="A775" t="s">
        <v>1081</v>
      </c>
      <c r="B775" s="1">
        <v>45892</v>
      </c>
      <c r="C775" t="s">
        <v>299</v>
      </c>
      <c r="D775" t="s">
        <v>81</v>
      </c>
      <c r="E775" t="s">
        <v>13</v>
      </c>
      <c r="F775" t="s">
        <v>21</v>
      </c>
      <c r="G775">
        <v>3</v>
      </c>
      <c r="H775">
        <v>0</v>
      </c>
      <c r="I775">
        <v>135</v>
      </c>
      <c r="J775">
        <v>41.01</v>
      </c>
    </row>
    <row r="776" spans="1:10" x14ac:dyDescent="0.25">
      <c r="A776" t="s">
        <v>1082</v>
      </c>
      <c r="B776" s="1">
        <v>45892</v>
      </c>
      <c r="C776" t="s">
        <v>228</v>
      </c>
      <c r="D776" t="s">
        <v>27</v>
      </c>
      <c r="E776" t="s">
        <v>28</v>
      </c>
      <c r="F776" t="s">
        <v>21</v>
      </c>
      <c r="G776">
        <v>5</v>
      </c>
      <c r="H776">
        <v>0</v>
      </c>
      <c r="I776">
        <v>3250</v>
      </c>
      <c r="J776">
        <v>1224.1099999999999</v>
      </c>
    </row>
    <row r="777" spans="1:10" x14ac:dyDescent="0.25">
      <c r="A777" t="s">
        <v>1083</v>
      </c>
      <c r="B777" s="1">
        <v>45893</v>
      </c>
      <c r="C777" t="s">
        <v>60</v>
      </c>
      <c r="D777" t="s">
        <v>73</v>
      </c>
      <c r="E777" t="s">
        <v>74</v>
      </c>
      <c r="F777" t="s">
        <v>21</v>
      </c>
      <c r="G777">
        <v>1</v>
      </c>
      <c r="H777">
        <v>0.05</v>
      </c>
      <c r="I777">
        <v>7.6</v>
      </c>
      <c r="J777">
        <v>1.68</v>
      </c>
    </row>
    <row r="778" spans="1:10" x14ac:dyDescent="0.25">
      <c r="A778" t="s">
        <v>1084</v>
      </c>
      <c r="B778" s="1">
        <v>45893</v>
      </c>
      <c r="C778" t="s">
        <v>263</v>
      </c>
      <c r="D778" t="s">
        <v>19</v>
      </c>
      <c r="E778" t="s">
        <v>20</v>
      </c>
      <c r="F778" t="s">
        <v>14</v>
      </c>
      <c r="G778">
        <v>3</v>
      </c>
      <c r="H778">
        <v>0.1</v>
      </c>
      <c r="I778">
        <v>486</v>
      </c>
      <c r="J778">
        <v>46.32</v>
      </c>
    </row>
    <row r="779" spans="1:10" x14ac:dyDescent="0.25">
      <c r="A779" t="s">
        <v>1085</v>
      </c>
      <c r="B779" s="1">
        <v>45893</v>
      </c>
      <c r="C779" t="s">
        <v>369</v>
      </c>
      <c r="D779" t="s">
        <v>12</v>
      </c>
      <c r="E779" t="s">
        <v>13</v>
      </c>
      <c r="F779" t="s">
        <v>29</v>
      </c>
      <c r="G779">
        <v>4</v>
      </c>
      <c r="H779">
        <v>0</v>
      </c>
      <c r="I779">
        <v>220</v>
      </c>
      <c r="J779">
        <v>56.64</v>
      </c>
    </row>
    <row r="780" spans="1:10" x14ac:dyDescent="0.25">
      <c r="A780" t="s">
        <v>1086</v>
      </c>
      <c r="B780" s="1">
        <v>45894</v>
      </c>
      <c r="C780" t="s">
        <v>785</v>
      </c>
      <c r="D780" t="s">
        <v>32</v>
      </c>
      <c r="E780" t="s">
        <v>28</v>
      </c>
      <c r="F780" t="s">
        <v>29</v>
      </c>
      <c r="G780">
        <v>1</v>
      </c>
      <c r="H780">
        <v>0.1</v>
      </c>
      <c r="I780">
        <v>450</v>
      </c>
      <c r="J780">
        <v>116.85</v>
      </c>
    </row>
    <row r="781" spans="1:10" x14ac:dyDescent="0.25">
      <c r="A781" t="s">
        <v>1087</v>
      </c>
      <c r="B781" s="1">
        <v>45894</v>
      </c>
      <c r="C781" t="s">
        <v>194</v>
      </c>
      <c r="D781" t="s">
        <v>73</v>
      </c>
      <c r="E781" t="s">
        <v>74</v>
      </c>
      <c r="F781" t="s">
        <v>38</v>
      </c>
      <c r="G781">
        <v>4</v>
      </c>
      <c r="H781">
        <v>0.15</v>
      </c>
      <c r="I781">
        <v>27.2</v>
      </c>
      <c r="J781">
        <v>3.44</v>
      </c>
    </row>
    <row r="782" spans="1:10" x14ac:dyDescent="0.25">
      <c r="A782" t="s">
        <v>1088</v>
      </c>
      <c r="B782" s="1">
        <v>45894</v>
      </c>
      <c r="C782" t="s">
        <v>1089</v>
      </c>
      <c r="D782" t="s">
        <v>37</v>
      </c>
      <c r="E782" t="s">
        <v>28</v>
      </c>
      <c r="F782" t="s">
        <v>21</v>
      </c>
      <c r="G782">
        <v>1</v>
      </c>
      <c r="H782">
        <v>0.05</v>
      </c>
      <c r="I782">
        <v>76</v>
      </c>
      <c r="J782">
        <v>14.4</v>
      </c>
    </row>
    <row r="783" spans="1:10" x14ac:dyDescent="0.25">
      <c r="A783" t="s">
        <v>1090</v>
      </c>
      <c r="B783" s="1">
        <v>45895</v>
      </c>
      <c r="C783" t="s">
        <v>563</v>
      </c>
      <c r="D783" t="s">
        <v>24</v>
      </c>
      <c r="E783" t="s">
        <v>20</v>
      </c>
      <c r="F783" t="s">
        <v>29</v>
      </c>
      <c r="G783">
        <v>4</v>
      </c>
      <c r="H783">
        <v>0.1</v>
      </c>
      <c r="I783">
        <v>792</v>
      </c>
      <c r="J783">
        <v>241.27</v>
      </c>
    </row>
    <row r="784" spans="1:10" x14ac:dyDescent="0.25">
      <c r="A784" t="s">
        <v>1091</v>
      </c>
      <c r="B784" s="1">
        <v>45895</v>
      </c>
      <c r="C784" t="s">
        <v>93</v>
      </c>
      <c r="D784" t="s">
        <v>73</v>
      </c>
      <c r="E784" t="s">
        <v>74</v>
      </c>
      <c r="F784" t="s">
        <v>21</v>
      </c>
      <c r="G784">
        <v>4</v>
      </c>
      <c r="H784">
        <v>0.1</v>
      </c>
      <c r="I784">
        <v>28.8</v>
      </c>
      <c r="J784">
        <v>4.42</v>
      </c>
    </row>
    <row r="785" spans="1:10" x14ac:dyDescent="0.25">
      <c r="A785" t="s">
        <v>1092</v>
      </c>
      <c r="B785" s="1">
        <v>45895</v>
      </c>
      <c r="C785" t="s">
        <v>135</v>
      </c>
      <c r="D785" t="s">
        <v>91</v>
      </c>
      <c r="E785" t="s">
        <v>13</v>
      </c>
      <c r="F785" t="s">
        <v>38</v>
      </c>
      <c r="G785">
        <v>3</v>
      </c>
      <c r="H785">
        <v>0.05</v>
      </c>
      <c r="I785">
        <v>85.5</v>
      </c>
      <c r="J785">
        <v>24.07</v>
      </c>
    </row>
    <row r="786" spans="1:10" x14ac:dyDescent="0.25">
      <c r="A786" t="s">
        <v>1093</v>
      </c>
      <c r="B786" s="1">
        <v>45896</v>
      </c>
      <c r="C786" t="s">
        <v>293</v>
      </c>
      <c r="D786" t="s">
        <v>91</v>
      </c>
      <c r="E786" t="s">
        <v>13</v>
      </c>
      <c r="F786" t="s">
        <v>21</v>
      </c>
      <c r="G786">
        <v>4</v>
      </c>
      <c r="H786">
        <v>0.2</v>
      </c>
      <c r="I786">
        <v>96</v>
      </c>
      <c r="J786">
        <v>6.35</v>
      </c>
    </row>
    <row r="787" spans="1:10" x14ac:dyDescent="0.25">
      <c r="A787" t="s">
        <v>1094</v>
      </c>
      <c r="B787" s="1">
        <v>45896</v>
      </c>
      <c r="C787" t="s">
        <v>291</v>
      </c>
      <c r="D787" t="s">
        <v>81</v>
      </c>
      <c r="E787" t="s">
        <v>13</v>
      </c>
      <c r="F787" t="s">
        <v>21</v>
      </c>
      <c r="G787">
        <v>2</v>
      </c>
      <c r="H787">
        <v>0</v>
      </c>
      <c r="I787">
        <v>90</v>
      </c>
      <c r="J787">
        <v>20.14</v>
      </c>
    </row>
    <row r="788" spans="1:10" x14ac:dyDescent="0.25">
      <c r="A788" t="s">
        <v>1095</v>
      </c>
      <c r="B788" s="1">
        <v>45896</v>
      </c>
      <c r="C788" t="s">
        <v>528</v>
      </c>
      <c r="D788" t="s">
        <v>12</v>
      </c>
      <c r="E788" t="s">
        <v>13</v>
      </c>
      <c r="F788" t="s">
        <v>29</v>
      </c>
      <c r="G788">
        <v>5</v>
      </c>
      <c r="H788">
        <v>0</v>
      </c>
      <c r="I788">
        <v>275</v>
      </c>
      <c r="J788">
        <v>52.63</v>
      </c>
    </row>
    <row r="789" spans="1:10" x14ac:dyDescent="0.25">
      <c r="A789" t="s">
        <v>1096</v>
      </c>
      <c r="B789" s="1">
        <v>45896</v>
      </c>
      <c r="C789" t="s">
        <v>177</v>
      </c>
      <c r="D789" t="s">
        <v>12</v>
      </c>
      <c r="E789" t="s">
        <v>13</v>
      </c>
      <c r="F789" t="s">
        <v>14</v>
      </c>
      <c r="G789">
        <v>2</v>
      </c>
      <c r="H789">
        <v>0.15</v>
      </c>
      <c r="I789">
        <v>93.5</v>
      </c>
      <c r="J789">
        <v>14.65</v>
      </c>
    </row>
    <row r="790" spans="1:10" x14ac:dyDescent="0.25">
      <c r="A790" t="s">
        <v>1097</v>
      </c>
      <c r="B790" s="1">
        <v>45897</v>
      </c>
      <c r="C790" t="s">
        <v>145</v>
      </c>
      <c r="D790" t="s">
        <v>24</v>
      </c>
      <c r="E790" t="s">
        <v>20</v>
      </c>
      <c r="F790" t="s">
        <v>38</v>
      </c>
      <c r="G790">
        <v>2</v>
      </c>
      <c r="H790">
        <v>0.1</v>
      </c>
      <c r="I790">
        <v>396</v>
      </c>
      <c r="J790">
        <v>94.58</v>
      </c>
    </row>
    <row r="791" spans="1:10" x14ac:dyDescent="0.25">
      <c r="A791" t="s">
        <v>1098</v>
      </c>
      <c r="B791" s="1">
        <v>45897</v>
      </c>
      <c r="C791" t="s">
        <v>885</v>
      </c>
      <c r="D791" t="s">
        <v>27</v>
      </c>
      <c r="E791" t="s">
        <v>28</v>
      </c>
      <c r="F791" t="s">
        <v>29</v>
      </c>
      <c r="G791">
        <v>4</v>
      </c>
      <c r="H791">
        <v>0.05</v>
      </c>
      <c r="I791">
        <v>2470</v>
      </c>
      <c r="J791">
        <v>736.37</v>
      </c>
    </row>
    <row r="792" spans="1:10" x14ac:dyDescent="0.25">
      <c r="A792" t="s">
        <v>1099</v>
      </c>
      <c r="B792" s="1">
        <v>45897</v>
      </c>
      <c r="C792" t="s">
        <v>162</v>
      </c>
      <c r="D792" t="s">
        <v>81</v>
      </c>
      <c r="E792" t="s">
        <v>13</v>
      </c>
      <c r="F792" t="s">
        <v>38</v>
      </c>
      <c r="G792">
        <v>3</v>
      </c>
      <c r="H792">
        <v>0.2</v>
      </c>
      <c r="I792">
        <v>108</v>
      </c>
      <c r="J792">
        <v>13.49</v>
      </c>
    </row>
    <row r="793" spans="1:10" x14ac:dyDescent="0.25">
      <c r="A793" t="s">
        <v>1100</v>
      </c>
      <c r="B793" s="1">
        <v>45898</v>
      </c>
      <c r="C793" t="s">
        <v>653</v>
      </c>
      <c r="D793" t="s">
        <v>73</v>
      </c>
      <c r="E793" t="s">
        <v>74</v>
      </c>
      <c r="F793" t="s">
        <v>14</v>
      </c>
      <c r="G793">
        <v>3</v>
      </c>
      <c r="H793">
        <v>0.2</v>
      </c>
      <c r="I793">
        <v>19.2</v>
      </c>
      <c r="J793">
        <v>3.4</v>
      </c>
    </row>
    <row r="794" spans="1:10" x14ac:dyDescent="0.25">
      <c r="A794" t="s">
        <v>1101</v>
      </c>
      <c r="B794" s="1">
        <v>45898</v>
      </c>
      <c r="C794" t="s">
        <v>198</v>
      </c>
      <c r="D794" t="s">
        <v>37</v>
      </c>
      <c r="E794" t="s">
        <v>28</v>
      </c>
      <c r="F794" t="s">
        <v>38</v>
      </c>
      <c r="G794">
        <v>1</v>
      </c>
      <c r="H794">
        <v>0.05</v>
      </c>
      <c r="I794">
        <v>76</v>
      </c>
      <c r="J794">
        <v>23.23</v>
      </c>
    </row>
    <row r="795" spans="1:10" x14ac:dyDescent="0.25">
      <c r="A795" t="s">
        <v>1102</v>
      </c>
      <c r="B795" s="1">
        <v>45898</v>
      </c>
      <c r="C795" t="s">
        <v>352</v>
      </c>
      <c r="D795" t="s">
        <v>24</v>
      </c>
      <c r="E795" t="s">
        <v>20</v>
      </c>
      <c r="F795" t="s">
        <v>29</v>
      </c>
      <c r="G795">
        <v>4</v>
      </c>
      <c r="H795">
        <v>0.1</v>
      </c>
      <c r="I795">
        <v>792</v>
      </c>
      <c r="J795">
        <v>172.97</v>
      </c>
    </row>
    <row r="796" spans="1:10" x14ac:dyDescent="0.25">
      <c r="A796" t="s">
        <v>1103</v>
      </c>
      <c r="B796" s="1">
        <v>45899</v>
      </c>
      <c r="C796" t="s">
        <v>287</v>
      </c>
      <c r="D796" t="s">
        <v>50</v>
      </c>
      <c r="E796" t="s">
        <v>28</v>
      </c>
      <c r="F796" t="s">
        <v>38</v>
      </c>
      <c r="G796">
        <v>2</v>
      </c>
      <c r="H796">
        <v>0.15</v>
      </c>
      <c r="I796">
        <v>408</v>
      </c>
      <c r="J796">
        <v>102.32</v>
      </c>
    </row>
    <row r="797" spans="1:10" x14ac:dyDescent="0.25">
      <c r="A797" t="s">
        <v>1104</v>
      </c>
      <c r="B797" s="1">
        <v>45899</v>
      </c>
      <c r="C797" t="s">
        <v>268</v>
      </c>
      <c r="D797" t="s">
        <v>50</v>
      </c>
      <c r="E797" t="s">
        <v>28</v>
      </c>
      <c r="F797" t="s">
        <v>21</v>
      </c>
      <c r="G797">
        <v>1</v>
      </c>
      <c r="H797">
        <v>0.1</v>
      </c>
      <c r="I797">
        <v>216</v>
      </c>
      <c r="J797">
        <v>38.28</v>
      </c>
    </row>
    <row r="798" spans="1:10" x14ac:dyDescent="0.25">
      <c r="A798" t="s">
        <v>1105</v>
      </c>
      <c r="B798" s="1">
        <v>45899</v>
      </c>
      <c r="C798" t="s">
        <v>362</v>
      </c>
      <c r="D798" t="s">
        <v>32</v>
      </c>
      <c r="E798" t="s">
        <v>28</v>
      </c>
      <c r="F798" t="s">
        <v>38</v>
      </c>
      <c r="G798">
        <v>3</v>
      </c>
      <c r="H798">
        <v>0</v>
      </c>
      <c r="I798">
        <v>1500</v>
      </c>
      <c r="J798">
        <v>319.52</v>
      </c>
    </row>
    <row r="799" spans="1:10" x14ac:dyDescent="0.25">
      <c r="A799" t="s">
        <v>1106</v>
      </c>
      <c r="B799" s="1">
        <v>45899</v>
      </c>
      <c r="C799" t="s">
        <v>534</v>
      </c>
      <c r="D799" t="s">
        <v>12</v>
      </c>
      <c r="E799" t="s">
        <v>13</v>
      </c>
      <c r="F799" t="s">
        <v>21</v>
      </c>
      <c r="G799">
        <v>1</v>
      </c>
      <c r="H799">
        <v>0</v>
      </c>
      <c r="I799">
        <v>55</v>
      </c>
      <c r="J799">
        <v>11.35</v>
      </c>
    </row>
    <row r="800" spans="1:10" x14ac:dyDescent="0.25">
      <c r="A800" t="s">
        <v>1107</v>
      </c>
      <c r="B800" s="1">
        <v>45900</v>
      </c>
      <c r="C800" t="s">
        <v>950</v>
      </c>
      <c r="D800" t="s">
        <v>37</v>
      </c>
      <c r="E800" t="s">
        <v>28</v>
      </c>
      <c r="F800" t="s">
        <v>38</v>
      </c>
      <c r="G800">
        <v>3</v>
      </c>
      <c r="H800">
        <v>0</v>
      </c>
      <c r="I800">
        <v>240</v>
      </c>
      <c r="J800">
        <v>63.65</v>
      </c>
    </row>
    <row r="801" spans="1:10" x14ac:dyDescent="0.25">
      <c r="A801" t="s">
        <v>1108</v>
      </c>
      <c r="B801" s="1">
        <v>45900</v>
      </c>
      <c r="C801" t="s">
        <v>369</v>
      </c>
      <c r="D801" t="s">
        <v>24</v>
      </c>
      <c r="E801" t="s">
        <v>20</v>
      </c>
      <c r="F801" t="s">
        <v>29</v>
      </c>
      <c r="G801">
        <v>3</v>
      </c>
      <c r="H801">
        <v>0.1</v>
      </c>
      <c r="I801">
        <v>594</v>
      </c>
      <c r="J801">
        <v>183.31</v>
      </c>
    </row>
    <row r="802" spans="1:10" x14ac:dyDescent="0.25">
      <c r="A802" t="s">
        <v>1109</v>
      </c>
      <c r="B802" s="1">
        <v>45900</v>
      </c>
      <c r="C802" t="s">
        <v>956</v>
      </c>
      <c r="D802" t="s">
        <v>73</v>
      </c>
      <c r="E802" t="s">
        <v>74</v>
      </c>
      <c r="F802" t="s">
        <v>21</v>
      </c>
      <c r="G802">
        <v>4</v>
      </c>
      <c r="H802">
        <v>0.05</v>
      </c>
      <c r="I802">
        <v>30.4</v>
      </c>
      <c r="J802">
        <v>6.94</v>
      </c>
    </row>
    <row r="803" spans="1:10" x14ac:dyDescent="0.25">
      <c r="A803" t="s">
        <v>1110</v>
      </c>
      <c r="B803" s="1">
        <v>45901</v>
      </c>
      <c r="C803" t="s">
        <v>406</v>
      </c>
      <c r="D803" t="s">
        <v>73</v>
      </c>
      <c r="E803" t="s">
        <v>74</v>
      </c>
      <c r="F803" t="s">
        <v>38</v>
      </c>
      <c r="G803">
        <v>3</v>
      </c>
      <c r="H803">
        <v>0.1</v>
      </c>
      <c r="I803">
        <v>21.6</v>
      </c>
      <c r="J803">
        <v>4</v>
      </c>
    </row>
    <row r="804" spans="1:10" x14ac:dyDescent="0.25">
      <c r="A804" t="s">
        <v>1111</v>
      </c>
      <c r="B804" s="1">
        <v>45901</v>
      </c>
      <c r="C804" t="s">
        <v>324</v>
      </c>
      <c r="D804" t="s">
        <v>12</v>
      </c>
      <c r="E804" t="s">
        <v>13</v>
      </c>
      <c r="F804" t="s">
        <v>38</v>
      </c>
      <c r="G804">
        <v>4</v>
      </c>
      <c r="H804">
        <v>0.05</v>
      </c>
      <c r="I804">
        <v>209</v>
      </c>
      <c r="J804">
        <v>35.979999999999997</v>
      </c>
    </row>
    <row r="805" spans="1:10" x14ac:dyDescent="0.25">
      <c r="A805" t="s">
        <v>1112</v>
      </c>
      <c r="B805" s="1">
        <v>45901</v>
      </c>
      <c r="C805" t="s">
        <v>46</v>
      </c>
      <c r="D805" t="s">
        <v>27</v>
      </c>
      <c r="E805" t="s">
        <v>28</v>
      </c>
      <c r="F805" t="s">
        <v>29</v>
      </c>
      <c r="G805">
        <v>4</v>
      </c>
      <c r="H805">
        <v>0.15</v>
      </c>
      <c r="I805">
        <v>2210</v>
      </c>
      <c r="J805">
        <v>114.19</v>
      </c>
    </row>
    <row r="806" spans="1:10" x14ac:dyDescent="0.25">
      <c r="A806" t="s">
        <v>1113</v>
      </c>
      <c r="B806" s="1">
        <v>45902</v>
      </c>
      <c r="C806" t="s">
        <v>99</v>
      </c>
      <c r="D806" t="s">
        <v>81</v>
      </c>
      <c r="E806" t="s">
        <v>13</v>
      </c>
      <c r="F806" t="s">
        <v>29</v>
      </c>
      <c r="G806">
        <v>5</v>
      </c>
      <c r="H806">
        <v>0.1</v>
      </c>
      <c r="I806">
        <v>202.5</v>
      </c>
      <c r="J806">
        <v>50.07</v>
      </c>
    </row>
    <row r="807" spans="1:10" x14ac:dyDescent="0.25">
      <c r="A807" t="s">
        <v>1114</v>
      </c>
      <c r="B807" s="1">
        <v>45902</v>
      </c>
      <c r="C807" t="s">
        <v>850</v>
      </c>
      <c r="D807" t="s">
        <v>73</v>
      </c>
      <c r="E807" t="s">
        <v>74</v>
      </c>
      <c r="F807" t="s">
        <v>38</v>
      </c>
      <c r="G807">
        <v>5</v>
      </c>
      <c r="H807">
        <v>0.15</v>
      </c>
      <c r="I807">
        <v>34</v>
      </c>
      <c r="J807">
        <v>3.13</v>
      </c>
    </row>
    <row r="808" spans="1:10" x14ac:dyDescent="0.25">
      <c r="A808" t="s">
        <v>1115</v>
      </c>
      <c r="B808" s="1">
        <v>45902</v>
      </c>
      <c r="C808" t="s">
        <v>364</v>
      </c>
      <c r="D808" t="s">
        <v>19</v>
      </c>
      <c r="E808" t="s">
        <v>20</v>
      </c>
      <c r="F808" t="s">
        <v>14</v>
      </c>
      <c r="G808">
        <v>4</v>
      </c>
      <c r="H808">
        <v>0</v>
      </c>
      <c r="I808">
        <v>720</v>
      </c>
      <c r="J808">
        <v>191.23</v>
      </c>
    </row>
    <row r="809" spans="1:10" x14ac:dyDescent="0.25">
      <c r="A809" t="s">
        <v>1116</v>
      </c>
      <c r="B809" s="1">
        <v>45902</v>
      </c>
      <c r="C809" t="s">
        <v>547</v>
      </c>
      <c r="D809" t="s">
        <v>12</v>
      </c>
      <c r="E809" t="s">
        <v>13</v>
      </c>
      <c r="F809" t="s">
        <v>21</v>
      </c>
      <c r="G809">
        <v>4</v>
      </c>
      <c r="H809">
        <v>0.1</v>
      </c>
      <c r="I809">
        <v>198</v>
      </c>
      <c r="J809">
        <v>29.31</v>
      </c>
    </row>
    <row r="810" spans="1:10" x14ac:dyDescent="0.25">
      <c r="A810" t="s">
        <v>1117</v>
      </c>
      <c r="B810" s="1">
        <v>45903</v>
      </c>
      <c r="C810" t="s">
        <v>829</v>
      </c>
      <c r="D810" t="s">
        <v>81</v>
      </c>
      <c r="E810" t="s">
        <v>13</v>
      </c>
      <c r="F810" t="s">
        <v>38</v>
      </c>
      <c r="G810">
        <v>2</v>
      </c>
      <c r="H810">
        <v>0</v>
      </c>
      <c r="I810">
        <v>90</v>
      </c>
      <c r="J810">
        <v>33.58</v>
      </c>
    </row>
    <row r="811" spans="1:10" x14ac:dyDescent="0.25">
      <c r="A811" t="s">
        <v>1118</v>
      </c>
      <c r="B811" s="1">
        <v>45903</v>
      </c>
      <c r="C811" t="s">
        <v>1119</v>
      </c>
      <c r="D811" t="s">
        <v>12</v>
      </c>
      <c r="E811" t="s">
        <v>13</v>
      </c>
      <c r="F811" t="s">
        <v>29</v>
      </c>
      <c r="G811">
        <v>2</v>
      </c>
      <c r="H811">
        <v>0</v>
      </c>
      <c r="I811">
        <v>110</v>
      </c>
      <c r="J811">
        <v>27.69</v>
      </c>
    </row>
    <row r="812" spans="1:10" x14ac:dyDescent="0.25">
      <c r="A812" t="s">
        <v>1120</v>
      </c>
      <c r="B812" s="1">
        <v>45903</v>
      </c>
      <c r="C812" t="s">
        <v>54</v>
      </c>
      <c r="D812" t="s">
        <v>81</v>
      </c>
      <c r="E812" t="s">
        <v>13</v>
      </c>
      <c r="F812" t="s">
        <v>38</v>
      </c>
      <c r="G812">
        <v>4</v>
      </c>
      <c r="H812">
        <v>0.15</v>
      </c>
      <c r="I812">
        <v>153</v>
      </c>
      <c r="J812">
        <v>30.7</v>
      </c>
    </row>
    <row r="813" spans="1:10" x14ac:dyDescent="0.25">
      <c r="A813" t="s">
        <v>1121</v>
      </c>
      <c r="B813" s="1">
        <v>45904</v>
      </c>
      <c r="C813" t="s">
        <v>49</v>
      </c>
      <c r="D813" t="s">
        <v>32</v>
      </c>
      <c r="E813" t="s">
        <v>28</v>
      </c>
      <c r="F813" t="s">
        <v>29</v>
      </c>
      <c r="G813">
        <v>4</v>
      </c>
      <c r="H813">
        <v>0.1</v>
      </c>
      <c r="I813">
        <v>1800</v>
      </c>
      <c r="J813">
        <v>229.57</v>
      </c>
    </row>
    <row r="814" spans="1:10" x14ac:dyDescent="0.25">
      <c r="A814" t="s">
        <v>1122</v>
      </c>
      <c r="B814" s="1">
        <v>45904</v>
      </c>
      <c r="C814" t="s">
        <v>200</v>
      </c>
      <c r="D814" t="s">
        <v>19</v>
      </c>
      <c r="E814" t="s">
        <v>20</v>
      </c>
      <c r="F814" t="s">
        <v>38</v>
      </c>
      <c r="G814">
        <v>2</v>
      </c>
      <c r="H814">
        <v>0.05</v>
      </c>
      <c r="I814">
        <v>342</v>
      </c>
      <c r="J814">
        <v>107.55</v>
      </c>
    </row>
    <row r="815" spans="1:10" x14ac:dyDescent="0.25">
      <c r="A815" t="s">
        <v>1123</v>
      </c>
      <c r="B815" s="1">
        <v>45904</v>
      </c>
      <c r="C815" t="s">
        <v>462</v>
      </c>
      <c r="D815" t="s">
        <v>24</v>
      </c>
      <c r="E815" t="s">
        <v>20</v>
      </c>
      <c r="F815" t="s">
        <v>21</v>
      </c>
      <c r="G815">
        <v>2</v>
      </c>
      <c r="H815">
        <v>0</v>
      </c>
      <c r="I815">
        <v>440</v>
      </c>
      <c r="J815">
        <v>80.099999999999994</v>
      </c>
    </row>
    <row r="816" spans="1:10" x14ac:dyDescent="0.25">
      <c r="A816" t="s">
        <v>1124</v>
      </c>
      <c r="B816" s="1">
        <v>45905</v>
      </c>
      <c r="C816" t="s">
        <v>1125</v>
      </c>
      <c r="D816" t="s">
        <v>50</v>
      </c>
      <c r="E816" t="s">
        <v>28</v>
      </c>
      <c r="F816" t="s">
        <v>29</v>
      </c>
      <c r="G816">
        <v>2</v>
      </c>
      <c r="H816">
        <v>0.1</v>
      </c>
      <c r="I816">
        <v>432</v>
      </c>
      <c r="J816">
        <v>123.14</v>
      </c>
    </row>
    <row r="817" spans="1:10" x14ac:dyDescent="0.25">
      <c r="A817" t="s">
        <v>1126</v>
      </c>
      <c r="B817" s="1">
        <v>45905</v>
      </c>
      <c r="C817" t="s">
        <v>233</v>
      </c>
      <c r="D817" t="s">
        <v>32</v>
      </c>
      <c r="E817" t="s">
        <v>28</v>
      </c>
      <c r="F817" t="s">
        <v>14</v>
      </c>
      <c r="G817">
        <v>1</v>
      </c>
      <c r="H817">
        <v>0.1</v>
      </c>
      <c r="I817">
        <v>450</v>
      </c>
      <c r="J817">
        <v>76.209999999999994</v>
      </c>
    </row>
    <row r="818" spans="1:10" x14ac:dyDescent="0.25">
      <c r="A818" t="s">
        <v>1127</v>
      </c>
      <c r="B818" s="1">
        <v>45905</v>
      </c>
      <c r="C818" t="s">
        <v>263</v>
      </c>
      <c r="D818" t="s">
        <v>37</v>
      </c>
      <c r="E818" t="s">
        <v>28</v>
      </c>
      <c r="F818" t="s">
        <v>29</v>
      </c>
      <c r="G818">
        <v>3</v>
      </c>
      <c r="H818">
        <v>0.05</v>
      </c>
      <c r="I818">
        <v>228</v>
      </c>
      <c r="J818">
        <v>58.68</v>
      </c>
    </row>
    <row r="819" spans="1:10" x14ac:dyDescent="0.25">
      <c r="A819" t="s">
        <v>1128</v>
      </c>
      <c r="B819" s="1">
        <v>45906</v>
      </c>
      <c r="C819" t="s">
        <v>271</v>
      </c>
      <c r="D819" t="s">
        <v>12</v>
      </c>
      <c r="E819" t="s">
        <v>13</v>
      </c>
      <c r="F819" t="s">
        <v>38</v>
      </c>
      <c r="G819">
        <v>5</v>
      </c>
      <c r="H819">
        <v>0.05</v>
      </c>
      <c r="I819">
        <v>261.25</v>
      </c>
      <c r="J819">
        <v>75.41</v>
      </c>
    </row>
    <row r="820" spans="1:10" x14ac:dyDescent="0.25">
      <c r="A820" t="s">
        <v>1129</v>
      </c>
      <c r="B820" s="1">
        <v>45906</v>
      </c>
      <c r="C820" t="s">
        <v>143</v>
      </c>
      <c r="D820" t="s">
        <v>73</v>
      </c>
      <c r="E820" t="s">
        <v>74</v>
      </c>
      <c r="F820" t="s">
        <v>29</v>
      </c>
      <c r="G820">
        <v>2</v>
      </c>
      <c r="H820">
        <v>0.05</v>
      </c>
      <c r="I820">
        <v>15.2</v>
      </c>
      <c r="J820">
        <v>3.77</v>
      </c>
    </row>
    <row r="821" spans="1:10" x14ac:dyDescent="0.25">
      <c r="A821" t="s">
        <v>1130</v>
      </c>
      <c r="B821" s="1">
        <v>45906</v>
      </c>
      <c r="C821" t="s">
        <v>688</v>
      </c>
      <c r="D821" t="s">
        <v>24</v>
      </c>
      <c r="E821" t="s">
        <v>20</v>
      </c>
      <c r="F821" t="s">
        <v>29</v>
      </c>
      <c r="G821">
        <v>2</v>
      </c>
      <c r="H821">
        <v>0.15</v>
      </c>
      <c r="I821">
        <v>374</v>
      </c>
      <c r="J821">
        <v>48.18</v>
      </c>
    </row>
    <row r="822" spans="1:10" x14ac:dyDescent="0.25">
      <c r="A822" t="s">
        <v>1131</v>
      </c>
      <c r="B822" s="1">
        <v>45906</v>
      </c>
      <c r="C822" t="s">
        <v>115</v>
      </c>
      <c r="D822" t="s">
        <v>32</v>
      </c>
      <c r="E822" t="s">
        <v>28</v>
      </c>
      <c r="F822" t="s">
        <v>29</v>
      </c>
      <c r="G822">
        <v>2</v>
      </c>
      <c r="H822">
        <v>0.05</v>
      </c>
      <c r="I822">
        <v>950</v>
      </c>
      <c r="J822">
        <v>311.35000000000002</v>
      </c>
    </row>
    <row r="823" spans="1:10" x14ac:dyDescent="0.25">
      <c r="A823" t="s">
        <v>1132</v>
      </c>
      <c r="B823" s="1">
        <v>45907</v>
      </c>
      <c r="C823" t="s">
        <v>184</v>
      </c>
      <c r="D823" t="s">
        <v>32</v>
      </c>
      <c r="E823" t="s">
        <v>28</v>
      </c>
      <c r="F823" t="s">
        <v>21</v>
      </c>
      <c r="G823">
        <v>2</v>
      </c>
      <c r="H823">
        <v>0.15</v>
      </c>
      <c r="I823">
        <v>850</v>
      </c>
      <c r="J823">
        <v>41.21</v>
      </c>
    </row>
    <row r="824" spans="1:10" x14ac:dyDescent="0.25">
      <c r="A824" t="s">
        <v>1133</v>
      </c>
      <c r="B824" s="1">
        <v>45907</v>
      </c>
      <c r="C824" t="s">
        <v>739</v>
      </c>
      <c r="D824" t="s">
        <v>81</v>
      </c>
      <c r="E824" t="s">
        <v>13</v>
      </c>
      <c r="F824" t="s">
        <v>29</v>
      </c>
      <c r="G824">
        <v>4</v>
      </c>
      <c r="H824">
        <v>0.05</v>
      </c>
      <c r="I824">
        <v>171</v>
      </c>
      <c r="J824">
        <v>31.73</v>
      </c>
    </row>
    <row r="825" spans="1:10" x14ac:dyDescent="0.25">
      <c r="A825" t="s">
        <v>1134</v>
      </c>
      <c r="B825" s="1">
        <v>45907</v>
      </c>
      <c r="C825" t="s">
        <v>62</v>
      </c>
      <c r="D825" t="s">
        <v>73</v>
      </c>
      <c r="E825" t="s">
        <v>74</v>
      </c>
      <c r="F825" t="s">
        <v>38</v>
      </c>
      <c r="G825">
        <v>1</v>
      </c>
      <c r="H825">
        <v>0.1</v>
      </c>
      <c r="I825">
        <v>7.2</v>
      </c>
      <c r="J825">
        <v>1.04</v>
      </c>
    </row>
    <row r="826" spans="1:10" x14ac:dyDescent="0.25">
      <c r="A826" t="s">
        <v>1135</v>
      </c>
      <c r="B826" s="1">
        <v>45908</v>
      </c>
      <c r="C826" t="s">
        <v>72</v>
      </c>
      <c r="D826" t="s">
        <v>24</v>
      </c>
      <c r="E826" t="s">
        <v>20</v>
      </c>
      <c r="F826" t="s">
        <v>14</v>
      </c>
      <c r="G826">
        <v>5</v>
      </c>
      <c r="H826">
        <v>0.1</v>
      </c>
      <c r="I826">
        <v>990</v>
      </c>
      <c r="J826">
        <v>121.12</v>
      </c>
    </row>
    <row r="827" spans="1:10" x14ac:dyDescent="0.25">
      <c r="A827" t="s">
        <v>1136</v>
      </c>
      <c r="B827" s="1">
        <v>45908</v>
      </c>
      <c r="C827" t="s">
        <v>252</v>
      </c>
      <c r="D827" t="s">
        <v>37</v>
      </c>
      <c r="E827" t="s">
        <v>28</v>
      </c>
      <c r="F827" t="s">
        <v>29</v>
      </c>
      <c r="G827">
        <v>2</v>
      </c>
      <c r="H827">
        <v>0.1</v>
      </c>
      <c r="I827">
        <v>144</v>
      </c>
      <c r="J827">
        <v>31.64</v>
      </c>
    </row>
    <row r="828" spans="1:10" x14ac:dyDescent="0.25">
      <c r="A828" t="s">
        <v>1137</v>
      </c>
      <c r="B828" s="1">
        <v>45908</v>
      </c>
      <c r="C828" t="s">
        <v>755</v>
      </c>
      <c r="D828" t="s">
        <v>73</v>
      </c>
      <c r="E828" t="s">
        <v>74</v>
      </c>
      <c r="F828" t="s">
        <v>29</v>
      </c>
      <c r="G828">
        <v>1</v>
      </c>
      <c r="H828">
        <v>0.1</v>
      </c>
      <c r="I828">
        <v>7.2</v>
      </c>
      <c r="J828">
        <v>0.95</v>
      </c>
    </row>
    <row r="829" spans="1:10" x14ac:dyDescent="0.25">
      <c r="A829" t="s">
        <v>1138</v>
      </c>
      <c r="B829" s="1">
        <v>45909</v>
      </c>
      <c r="C829" t="s">
        <v>547</v>
      </c>
      <c r="D829" t="s">
        <v>12</v>
      </c>
      <c r="E829" t="s">
        <v>13</v>
      </c>
      <c r="F829" t="s">
        <v>29</v>
      </c>
      <c r="G829">
        <v>4</v>
      </c>
      <c r="H829">
        <v>0.15</v>
      </c>
      <c r="I829">
        <v>187</v>
      </c>
      <c r="J829">
        <v>20.99</v>
      </c>
    </row>
    <row r="830" spans="1:10" x14ac:dyDescent="0.25">
      <c r="A830" t="s">
        <v>1139</v>
      </c>
      <c r="B830" s="1">
        <v>45909</v>
      </c>
      <c r="C830" t="s">
        <v>111</v>
      </c>
      <c r="D830" t="s">
        <v>81</v>
      </c>
      <c r="E830" t="s">
        <v>13</v>
      </c>
      <c r="F830" t="s">
        <v>14</v>
      </c>
      <c r="G830">
        <v>3</v>
      </c>
      <c r="H830">
        <v>0.1</v>
      </c>
      <c r="I830">
        <v>121.5</v>
      </c>
      <c r="J830">
        <v>16.05</v>
      </c>
    </row>
    <row r="831" spans="1:10" x14ac:dyDescent="0.25">
      <c r="A831" t="s">
        <v>1140</v>
      </c>
      <c r="B831" s="1">
        <v>45909</v>
      </c>
      <c r="C831" t="s">
        <v>518</v>
      </c>
      <c r="D831" t="s">
        <v>24</v>
      </c>
      <c r="E831" t="s">
        <v>20</v>
      </c>
      <c r="F831" t="s">
        <v>21</v>
      </c>
      <c r="G831">
        <v>4</v>
      </c>
      <c r="H831">
        <v>0</v>
      </c>
      <c r="I831">
        <v>880</v>
      </c>
      <c r="J831">
        <v>330.06</v>
      </c>
    </row>
    <row r="832" spans="1:10" x14ac:dyDescent="0.25">
      <c r="A832" t="s">
        <v>1141</v>
      </c>
      <c r="B832" s="1">
        <v>45909</v>
      </c>
      <c r="C832" t="s">
        <v>540</v>
      </c>
      <c r="D832" t="s">
        <v>24</v>
      </c>
      <c r="E832" t="s">
        <v>20</v>
      </c>
      <c r="F832" t="s">
        <v>29</v>
      </c>
      <c r="G832">
        <v>2</v>
      </c>
      <c r="H832">
        <v>0</v>
      </c>
      <c r="I832">
        <v>440</v>
      </c>
      <c r="J832">
        <v>96.78</v>
      </c>
    </row>
    <row r="833" spans="1:10" x14ac:dyDescent="0.25">
      <c r="A833" t="s">
        <v>1142</v>
      </c>
      <c r="B833" s="1">
        <v>45910</v>
      </c>
      <c r="C833" t="s">
        <v>130</v>
      </c>
      <c r="D833" t="s">
        <v>81</v>
      </c>
      <c r="E833" t="s">
        <v>13</v>
      </c>
      <c r="F833" t="s">
        <v>29</v>
      </c>
      <c r="G833">
        <v>4</v>
      </c>
      <c r="H833">
        <v>0.2</v>
      </c>
      <c r="I833">
        <v>144</v>
      </c>
      <c r="J833">
        <v>6.23</v>
      </c>
    </row>
    <row r="834" spans="1:10" x14ac:dyDescent="0.25">
      <c r="A834" t="s">
        <v>1143</v>
      </c>
      <c r="B834" s="1">
        <v>45910</v>
      </c>
      <c r="C834" t="s">
        <v>95</v>
      </c>
      <c r="D834" t="s">
        <v>19</v>
      </c>
      <c r="E834" t="s">
        <v>20</v>
      </c>
      <c r="F834" t="s">
        <v>21</v>
      </c>
      <c r="G834">
        <v>1</v>
      </c>
      <c r="H834">
        <v>0.05</v>
      </c>
      <c r="I834">
        <v>171</v>
      </c>
      <c r="J834">
        <v>29.25</v>
      </c>
    </row>
    <row r="835" spans="1:10" x14ac:dyDescent="0.25">
      <c r="A835" t="s">
        <v>1144</v>
      </c>
      <c r="B835" s="1">
        <v>45910</v>
      </c>
      <c r="C835" t="s">
        <v>1145</v>
      </c>
      <c r="D835" t="s">
        <v>81</v>
      </c>
      <c r="E835" t="s">
        <v>13</v>
      </c>
      <c r="F835" t="s">
        <v>14</v>
      </c>
      <c r="G835">
        <v>3</v>
      </c>
      <c r="H835">
        <v>0.05</v>
      </c>
      <c r="I835">
        <v>128.25</v>
      </c>
      <c r="J835">
        <v>24.13</v>
      </c>
    </row>
    <row r="836" spans="1:10" x14ac:dyDescent="0.25">
      <c r="A836" t="s">
        <v>1146</v>
      </c>
      <c r="B836" s="1">
        <v>45911</v>
      </c>
      <c r="C836" t="s">
        <v>40</v>
      </c>
      <c r="D836" t="s">
        <v>19</v>
      </c>
      <c r="E836" t="s">
        <v>20</v>
      </c>
      <c r="F836" t="s">
        <v>21</v>
      </c>
      <c r="G836">
        <v>5</v>
      </c>
      <c r="H836">
        <v>0.1</v>
      </c>
      <c r="I836">
        <v>810</v>
      </c>
      <c r="J836">
        <v>145.18</v>
      </c>
    </row>
    <row r="837" spans="1:10" x14ac:dyDescent="0.25">
      <c r="A837" t="s">
        <v>1147</v>
      </c>
      <c r="B837" s="1">
        <v>45911</v>
      </c>
      <c r="C837" t="s">
        <v>219</v>
      </c>
      <c r="D837" t="s">
        <v>27</v>
      </c>
      <c r="E837" t="s">
        <v>28</v>
      </c>
      <c r="F837" t="s">
        <v>29</v>
      </c>
      <c r="G837">
        <v>5</v>
      </c>
      <c r="H837">
        <v>0.15</v>
      </c>
      <c r="I837">
        <v>2762.5</v>
      </c>
      <c r="J837">
        <v>664.71</v>
      </c>
    </row>
    <row r="838" spans="1:10" x14ac:dyDescent="0.25">
      <c r="A838" t="s">
        <v>1148</v>
      </c>
      <c r="B838" s="1">
        <v>45911</v>
      </c>
      <c r="C838" t="s">
        <v>486</v>
      </c>
      <c r="D838" t="s">
        <v>27</v>
      </c>
      <c r="E838" t="s">
        <v>28</v>
      </c>
      <c r="F838" t="s">
        <v>14</v>
      </c>
      <c r="G838">
        <v>1</v>
      </c>
      <c r="H838">
        <v>0.05</v>
      </c>
      <c r="I838">
        <v>617.5</v>
      </c>
      <c r="J838">
        <v>149.63</v>
      </c>
    </row>
    <row r="839" spans="1:10" x14ac:dyDescent="0.25">
      <c r="A839" t="s">
        <v>1149</v>
      </c>
      <c r="B839" s="1">
        <v>45912</v>
      </c>
      <c r="C839" t="s">
        <v>396</v>
      </c>
      <c r="D839" t="s">
        <v>19</v>
      </c>
      <c r="E839" t="s">
        <v>20</v>
      </c>
      <c r="F839" t="s">
        <v>38</v>
      </c>
      <c r="G839">
        <v>3</v>
      </c>
      <c r="H839">
        <v>0.05</v>
      </c>
      <c r="I839">
        <v>513</v>
      </c>
      <c r="J839">
        <v>81.95</v>
      </c>
    </row>
    <row r="840" spans="1:10" x14ac:dyDescent="0.25">
      <c r="A840" t="s">
        <v>1150</v>
      </c>
      <c r="B840" s="1">
        <v>45912</v>
      </c>
      <c r="C840" t="s">
        <v>563</v>
      </c>
      <c r="D840" t="s">
        <v>32</v>
      </c>
      <c r="E840" t="s">
        <v>28</v>
      </c>
      <c r="F840" t="s">
        <v>38</v>
      </c>
      <c r="G840">
        <v>1</v>
      </c>
      <c r="H840">
        <v>0.1</v>
      </c>
      <c r="I840">
        <v>450</v>
      </c>
      <c r="J840">
        <v>125.18</v>
      </c>
    </row>
    <row r="841" spans="1:10" x14ac:dyDescent="0.25">
      <c r="A841" t="s">
        <v>1151</v>
      </c>
      <c r="B841" s="1">
        <v>45912</v>
      </c>
      <c r="C841" t="s">
        <v>371</v>
      </c>
      <c r="D841" t="s">
        <v>91</v>
      </c>
      <c r="E841" t="s">
        <v>13</v>
      </c>
      <c r="F841" t="s">
        <v>14</v>
      </c>
      <c r="G841">
        <v>5</v>
      </c>
      <c r="H841">
        <v>0.2</v>
      </c>
      <c r="I841">
        <v>120</v>
      </c>
      <c r="J841">
        <v>10.029999999999999</v>
      </c>
    </row>
    <row r="842" spans="1:10" x14ac:dyDescent="0.25">
      <c r="A842" t="s">
        <v>1152</v>
      </c>
      <c r="B842" s="1">
        <v>45913</v>
      </c>
      <c r="C842" t="s">
        <v>360</v>
      </c>
      <c r="D842" t="s">
        <v>81</v>
      </c>
      <c r="E842" t="s">
        <v>13</v>
      </c>
      <c r="F842" t="s">
        <v>14</v>
      </c>
      <c r="G842">
        <v>1</v>
      </c>
      <c r="H842">
        <v>0.05</v>
      </c>
      <c r="I842">
        <v>42.75</v>
      </c>
      <c r="J842">
        <v>8.85</v>
      </c>
    </row>
    <row r="843" spans="1:10" x14ac:dyDescent="0.25">
      <c r="A843" t="s">
        <v>1153</v>
      </c>
      <c r="B843" s="1">
        <v>45913</v>
      </c>
      <c r="C843" t="s">
        <v>355</v>
      </c>
      <c r="D843" t="s">
        <v>91</v>
      </c>
      <c r="E843" t="s">
        <v>13</v>
      </c>
      <c r="F843" t="s">
        <v>38</v>
      </c>
      <c r="G843">
        <v>1</v>
      </c>
      <c r="H843">
        <v>0.05</v>
      </c>
      <c r="I843">
        <v>28.5</v>
      </c>
      <c r="J843">
        <v>9.32</v>
      </c>
    </row>
    <row r="844" spans="1:10" x14ac:dyDescent="0.25">
      <c r="A844" t="s">
        <v>1154</v>
      </c>
      <c r="B844" s="1">
        <v>45913</v>
      </c>
      <c r="C844" t="s">
        <v>1155</v>
      </c>
      <c r="D844" t="s">
        <v>81</v>
      </c>
      <c r="E844" t="s">
        <v>13</v>
      </c>
      <c r="F844" t="s">
        <v>29</v>
      </c>
      <c r="G844">
        <v>3</v>
      </c>
      <c r="H844">
        <v>0.1</v>
      </c>
      <c r="I844">
        <v>121.5</v>
      </c>
      <c r="J844">
        <v>14.21</v>
      </c>
    </row>
    <row r="845" spans="1:10" x14ac:dyDescent="0.25">
      <c r="A845" t="s">
        <v>1156</v>
      </c>
      <c r="B845" s="1">
        <v>45913</v>
      </c>
      <c r="C845" t="s">
        <v>373</v>
      </c>
      <c r="D845" t="s">
        <v>32</v>
      </c>
      <c r="E845" t="s">
        <v>28</v>
      </c>
      <c r="F845" t="s">
        <v>14</v>
      </c>
      <c r="G845">
        <v>1</v>
      </c>
      <c r="H845">
        <v>0.05</v>
      </c>
      <c r="I845">
        <v>475</v>
      </c>
      <c r="J845">
        <v>117.35</v>
      </c>
    </row>
    <row r="846" spans="1:10" x14ac:dyDescent="0.25">
      <c r="A846" t="s">
        <v>1157</v>
      </c>
      <c r="B846" s="1">
        <v>45914</v>
      </c>
      <c r="C846" t="s">
        <v>101</v>
      </c>
      <c r="D846" t="s">
        <v>37</v>
      </c>
      <c r="E846" t="s">
        <v>28</v>
      </c>
      <c r="F846" t="s">
        <v>38</v>
      </c>
      <c r="G846">
        <v>5</v>
      </c>
      <c r="H846">
        <v>0.15</v>
      </c>
      <c r="I846">
        <v>340</v>
      </c>
      <c r="J846">
        <v>44.62</v>
      </c>
    </row>
    <row r="847" spans="1:10" x14ac:dyDescent="0.25">
      <c r="A847" t="s">
        <v>1158</v>
      </c>
      <c r="B847" s="1">
        <v>45914</v>
      </c>
      <c r="C847" t="s">
        <v>439</v>
      </c>
      <c r="D847" t="s">
        <v>27</v>
      </c>
      <c r="E847" t="s">
        <v>28</v>
      </c>
      <c r="F847" t="s">
        <v>29</v>
      </c>
      <c r="G847">
        <v>3</v>
      </c>
      <c r="H847">
        <v>0.1</v>
      </c>
      <c r="I847">
        <v>1755</v>
      </c>
      <c r="J847">
        <v>286.02</v>
      </c>
    </row>
    <row r="848" spans="1:10" x14ac:dyDescent="0.25">
      <c r="A848" t="s">
        <v>1159</v>
      </c>
      <c r="B848" s="1">
        <v>45914</v>
      </c>
      <c r="C848" t="s">
        <v>685</v>
      </c>
      <c r="D848" t="s">
        <v>19</v>
      </c>
      <c r="E848" t="s">
        <v>20</v>
      </c>
      <c r="F848" t="s">
        <v>21</v>
      </c>
      <c r="G848">
        <v>1</v>
      </c>
      <c r="H848">
        <v>0.15</v>
      </c>
      <c r="I848">
        <v>153</v>
      </c>
      <c r="J848">
        <v>26.07</v>
      </c>
    </row>
    <row r="849" spans="1:10" x14ac:dyDescent="0.25">
      <c r="A849" t="s">
        <v>1160</v>
      </c>
      <c r="B849" s="1">
        <v>45915</v>
      </c>
      <c r="C849" t="s">
        <v>167</v>
      </c>
      <c r="D849" t="s">
        <v>50</v>
      </c>
      <c r="E849" t="s">
        <v>28</v>
      </c>
      <c r="F849" t="s">
        <v>38</v>
      </c>
      <c r="G849">
        <v>4</v>
      </c>
      <c r="H849">
        <v>0.05</v>
      </c>
      <c r="I849">
        <v>912</v>
      </c>
      <c r="J849">
        <v>198.32</v>
      </c>
    </row>
    <row r="850" spans="1:10" x14ac:dyDescent="0.25">
      <c r="A850" t="s">
        <v>1161</v>
      </c>
      <c r="B850" s="1">
        <v>45915</v>
      </c>
      <c r="C850" t="s">
        <v>1162</v>
      </c>
      <c r="D850" t="s">
        <v>91</v>
      </c>
      <c r="E850" t="s">
        <v>13</v>
      </c>
      <c r="F850" t="s">
        <v>21</v>
      </c>
      <c r="G850">
        <v>4</v>
      </c>
      <c r="H850">
        <v>0.1</v>
      </c>
      <c r="I850">
        <v>108</v>
      </c>
      <c r="J850">
        <v>21.03</v>
      </c>
    </row>
    <row r="851" spans="1:10" x14ac:dyDescent="0.25">
      <c r="A851" t="s">
        <v>1163</v>
      </c>
      <c r="B851" s="1">
        <v>45915</v>
      </c>
      <c r="C851" t="s">
        <v>329</v>
      </c>
      <c r="D851" t="s">
        <v>12</v>
      </c>
      <c r="E851" t="s">
        <v>13</v>
      </c>
      <c r="F851" t="s">
        <v>29</v>
      </c>
      <c r="G851">
        <v>3</v>
      </c>
      <c r="H851">
        <v>0.05</v>
      </c>
      <c r="I851">
        <v>156.75</v>
      </c>
      <c r="J851">
        <v>28.99</v>
      </c>
    </row>
    <row r="852" spans="1:10" x14ac:dyDescent="0.25">
      <c r="A852" t="s">
        <v>1164</v>
      </c>
      <c r="B852" s="1">
        <v>45916</v>
      </c>
      <c r="C852" t="s">
        <v>1074</v>
      </c>
      <c r="D852" t="s">
        <v>12</v>
      </c>
      <c r="E852" t="s">
        <v>13</v>
      </c>
      <c r="F852" t="s">
        <v>21</v>
      </c>
      <c r="G852">
        <v>3</v>
      </c>
      <c r="H852">
        <v>0.1</v>
      </c>
      <c r="I852">
        <v>148.5</v>
      </c>
      <c r="J852">
        <v>28.24</v>
      </c>
    </row>
    <row r="853" spans="1:10" x14ac:dyDescent="0.25">
      <c r="A853" t="s">
        <v>1165</v>
      </c>
      <c r="B853" s="1">
        <v>45916</v>
      </c>
      <c r="C853" t="s">
        <v>685</v>
      </c>
      <c r="D853" t="s">
        <v>73</v>
      </c>
      <c r="E853" t="s">
        <v>74</v>
      </c>
      <c r="F853" t="s">
        <v>29</v>
      </c>
      <c r="G853">
        <v>3</v>
      </c>
      <c r="H853">
        <v>0.2</v>
      </c>
      <c r="I853">
        <v>19.2</v>
      </c>
      <c r="J853">
        <v>1.81</v>
      </c>
    </row>
    <row r="854" spans="1:10" x14ac:dyDescent="0.25">
      <c r="A854" t="s">
        <v>1166</v>
      </c>
      <c r="B854" s="1">
        <v>45916</v>
      </c>
      <c r="C854" t="s">
        <v>398</v>
      </c>
      <c r="D854" t="s">
        <v>81</v>
      </c>
      <c r="E854" t="s">
        <v>13</v>
      </c>
      <c r="F854" t="s">
        <v>38</v>
      </c>
      <c r="G854">
        <v>4</v>
      </c>
      <c r="H854">
        <v>0.05</v>
      </c>
      <c r="I854">
        <v>171</v>
      </c>
      <c r="J854">
        <v>37.31</v>
      </c>
    </row>
    <row r="855" spans="1:10" x14ac:dyDescent="0.25">
      <c r="A855" t="s">
        <v>1167</v>
      </c>
      <c r="B855" s="1">
        <v>45916</v>
      </c>
      <c r="C855" t="s">
        <v>681</v>
      </c>
      <c r="D855" t="s">
        <v>91</v>
      </c>
      <c r="E855" t="s">
        <v>13</v>
      </c>
      <c r="F855" t="s">
        <v>38</v>
      </c>
      <c r="G855">
        <v>3</v>
      </c>
      <c r="H855">
        <v>0</v>
      </c>
      <c r="I855">
        <v>90</v>
      </c>
      <c r="J855">
        <v>18.11</v>
      </c>
    </row>
    <row r="856" spans="1:10" x14ac:dyDescent="0.25">
      <c r="A856" t="s">
        <v>1168</v>
      </c>
      <c r="B856" s="1">
        <v>45917</v>
      </c>
      <c r="C856" t="s">
        <v>772</v>
      </c>
      <c r="D856" t="s">
        <v>12</v>
      </c>
      <c r="E856" t="s">
        <v>13</v>
      </c>
      <c r="F856" t="s">
        <v>38</v>
      </c>
      <c r="G856">
        <v>5</v>
      </c>
      <c r="H856">
        <v>0.2</v>
      </c>
      <c r="I856">
        <v>220</v>
      </c>
      <c r="J856">
        <v>10.98</v>
      </c>
    </row>
    <row r="857" spans="1:10" x14ac:dyDescent="0.25">
      <c r="A857" t="s">
        <v>1169</v>
      </c>
      <c r="B857" s="1">
        <v>45917</v>
      </c>
      <c r="C857" t="s">
        <v>46</v>
      </c>
      <c r="D857" t="s">
        <v>32</v>
      </c>
      <c r="E857" t="s">
        <v>28</v>
      </c>
      <c r="F857" t="s">
        <v>14</v>
      </c>
      <c r="G857">
        <v>5</v>
      </c>
      <c r="H857">
        <v>0.1</v>
      </c>
      <c r="I857">
        <v>2250</v>
      </c>
      <c r="J857">
        <v>333.81</v>
      </c>
    </row>
    <row r="858" spans="1:10" x14ac:dyDescent="0.25">
      <c r="A858" t="s">
        <v>1170</v>
      </c>
      <c r="B858" s="1">
        <v>45917</v>
      </c>
      <c r="C858" t="s">
        <v>279</v>
      </c>
      <c r="D858" t="s">
        <v>50</v>
      </c>
      <c r="E858" t="s">
        <v>28</v>
      </c>
      <c r="F858" t="s">
        <v>29</v>
      </c>
      <c r="G858">
        <v>5</v>
      </c>
      <c r="H858">
        <v>0.1</v>
      </c>
      <c r="I858">
        <v>1080</v>
      </c>
      <c r="J858">
        <v>256.48</v>
      </c>
    </row>
    <row r="859" spans="1:10" x14ac:dyDescent="0.25">
      <c r="A859" t="s">
        <v>1171</v>
      </c>
      <c r="B859" s="1">
        <v>45918</v>
      </c>
      <c r="C859" t="s">
        <v>385</v>
      </c>
      <c r="D859" t="s">
        <v>27</v>
      </c>
      <c r="E859" t="s">
        <v>28</v>
      </c>
      <c r="F859" t="s">
        <v>14</v>
      </c>
      <c r="G859">
        <v>2</v>
      </c>
      <c r="H859">
        <v>0.05</v>
      </c>
      <c r="I859">
        <v>1235</v>
      </c>
      <c r="J859">
        <v>185.97</v>
      </c>
    </row>
    <row r="860" spans="1:10" x14ac:dyDescent="0.25">
      <c r="A860" t="s">
        <v>1172</v>
      </c>
      <c r="B860" s="1">
        <v>45918</v>
      </c>
      <c r="C860" t="s">
        <v>381</v>
      </c>
      <c r="D860" t="s">
        <v>12</v>
      </c>
      <c r="E860" t="s">
        <v>13</v>
      </c>
      <c r="F860" t="s">
        <v>14</v>
      </c>
      <c r="G860">
        <v>2</v>
      </c>
      <c r="H860">
        <v>0.1</v>
      </c>
      <c r="I860">
        <v>99</v>
      </c>
      <c r="J860">
        <v>9.4700000000000006</v>
      </c>
    </row>
    <row r="861" spans="1:10" x14ac:dyDescent="0.25">
      <c r="A861" t="s">
        <v>1173</v>
      </c>
      <c r="B861" s="1">
        <v>45918</v>
      </c>
      <c r="C861" t="s">
        <v>58</v>
      </c>
      <c r="D861" t="s">
        <v>81</v>
      </c>
      <c r="E861" t="s">
        <v>13</v>
      </c>
      <c r="F861" t="s">
        <v>21</v>
      </c>
      <c r="G861">
        <v>5</v>
      </c>
      <c r="H861">
        <v>0.05</v>
      </c>
      <c r="I861">
        <v>213.75</v>
      </c>
      <c r="J861">
        <v>51.48</v>
      </c>
    </row>
    <row r="862" spans="1:10" x14ac:dyDescent="0.25">
      <c r="A862" t="s">
        <v>1174</v>
      </c>
      <c r="B862" s="1">
        <v>45919</v>
      </c>
      <c r="C862" t="s">
        <v>490</v>
      </c>
      <c r="D862" t="s">
        <v>27</v>
      </c>
      <c r="E862" t="s">
        <v>28</v>
      </c>
      <c r="F862" t="s">
        <v>14</v>
      </c>
      <c r="G862">
        <v>3</v>
      </c>
      <c r="H862">
        <v>0.05</v>
      </c>
      <c r="I862">
        <v>1852.5</v>
      </c>
      <c r="J862">
        <v>505.16</v>
      </c>
    </row>
    <row r="863" spans="1:10" x14ac:dyDescent="0.25">
      <c r="A863" t="s">
        <v>1175</v>
      </c>
      <c r="B863" s="1">
        <v>45919</v>
      </c>
      <c r="C863" t="s">
        <v>143</v>
      </c>
      <c r="D863" t="s">
        <v>91</v>
      </c>
      <c r="E863" t="s">
        <v>13</v>
      </c>
      <c r="F863" t="s">
        <v>14</v>
      </c>
      <c r="G863">
        <v>1</v>
      </c>
      <c r="H863">
        <v>0.05</v>
      </c>
      <c r="I863">
        <v>28.5</v>
      </c>
      <c r="J863">
        <v>7.58</v>
      </c>
    </row>
    <row r="864" spans="1:10" x14ac:dyDescent="0.25">
      <c r="A864" t="s">
        <v>1176</v>
      </c>
      <c r="B864" s="1">
        <v>45919</v>
      </c>
      <c r="C864" t="s">
        <v>173</v>
      </c>
      <c r="D864" t="s">
        <v>81</v>
      </c>
      <c r="E864" t="s">
        <v>13</v>
      </c>
      <c r="F864" t="s">
        <v>21</v>
      </c>
      <c r="G864">
        <v>4</v>
      </c>
      <c r="H864">
        <v>0.05</v>
      </c>
      <c r="I864">
        <v>171</v>
      </c>
      <c r="J864">
        <v>43.01</v>
      </c>
    </row>
    <row r="865" spans="1:10" x14ac:dyDescent="0.25">
      <c r="A865" t="s">
        <v>1177</v>
      </c>
      <c r="B865" s="1">
        <v>45919</v>
      </c>
      <c r="C865" t="s">
        <v>283</v>
      </c>
      <c r="D865" t="s">
        <v>12</v>
      </c>
      <c r="E865" t="s">
        <v>13</v>
      </c>
      <c r="F865" t="s">
        <v>14</v>
      </c>
      <c r="G865">
        <v>1</v>
      </c>
      <c r="H865">
        <v>0.2</v>
      </c>
      <c r="I865">
        <v>44</v>
      </c>
      <c r="J865">
        <v>8.23</v>
      </c>
    </row>
    <row r="866" spans="1:10" x14ac:dyDescent="0.25">
      <c r="A866" t="s">
        <v>1178</v>
      </c>
      <c r="B866" s="1">
        <v>45920</v>
      </c>
      <c r="C866" t="s">
        <v>107</v>
      </c>
      <c r="D866" t="s">
        <v>12</v>
      </c>
      <c r="E866" t="s">
        <v>13</v>
      </c>
      <c r="F866" t="s">
        <v>14</v>
      </c>
      <c r="G866">
        <v>5</v>
      </c>
      <c r="H866">
        <v>0</v>
      </c>
      <c r="I866">
        <v>275</v>
      </c>
      <c r="J866">
        <v>56.75</v>
      </c>
    </row>
    <row r="867" spans="1:10" x14ac:dyDescent="0.25">
      <c r="A867" t="s">
        <v>1179</v>
      </c>
      <c r="B867" s="1">
        <v>45920</v>
      </c>
      <c r="C867" t="s">
        <v>86</v>
      </c>
      <c r="D867" t="s">
        <v>24</v>
      </c>
      <c r="E867" t="s">
        <v>20</v>
      </c>
      <c r="F867" t="s">
        <v>29</v>
      </c>
      <c r="G867">
        <v>4</v>
      </c>
      <c r="H867">
        <v>0</v>
      </c>
      <c r="I867">
        <v>880</v>
      </c>
      <c r="J867">
        <v>205.15</v>
      </c>
    </row>
    <row r="868" spans="1:10" x14ac:dyDescent="0.25">
      <c r="A868" t="s">
        <v>1180</v>
      </c>
      <c r="B868" s="1">
        <v>45920</v>
      </c>
      <c r="C868" t="s">
        <v>256</v>
      </c>
      <c r="D868" t="s">
        <v>27</v>
      </c>
      <c r="E868" t="s">
        <v>28</v>
      </c>
      <c r="F868" t="s">
        <v>29</v>
      </c>
      <c r="G868">
        <v>2</v>
      </c>
      <c r="H868">
        <v>0.15</v>
      </c>
      <c r="I868">
        <v>1105</v>
      </c>
      <c r="J868">
        <v>148.97999999999999</v>
      </c>
    </row>
    <row r="869" spans="1:10" x14ac:dyDescent="0.25">
      <c r="A869" t="s">
        <v>1181</v>
      </c>
      <c r="B869" s="1">
        <v>45921</v>
      </c>
      <c r="C869" t="s">
        <v>72</v>
      </c>
      <c r="D869" t="s">
        <v>32</v>
      </c>
      <c r="E869" t="s">
        <v>28</v>
      </c>
      <c r="F869" t="s">
        <v>29</v>
      </c>
      <c r="G869">
        <v>4</v>
      </c>
      <c r="H869">
        <v>0.1</v>
      </c>
      <c r="I869">
        <v>1800</v>
      </c>
      <c r="J869">
        <v>528.29</v>
      </c>
    </row>
    <row r="870" spans="1:10" x14ac:dyDescent="0.25">
      <c r="A870" t="s">
        <v>1182</v>
      </c>
      <c r="B870" s="1">
        <v>45921</v>
      </c>
      <c r="C870" t="s">
        <v>143</v>
      </c>
      <c r="D870" t="s">
        <v>50</v>
      </c>
      <c r="E870" t="s">
        <v>28</v>
      </c>
      <c r="F870" t="s">
        <v>38</v>
      </c>
      <c r="G870">
        <v>2</v>
      </c>
      <c r="H870">
        <v>0</v>
      </c>
      <c r="I870">
        <v>480</v>
      </c>
      <c r="J870">
        <v>98.04</v>
      </c>
    </row>
    <row r="871" spans="1:10" x14ac:dyDescent="0.25">
      <c r="A871" t="s">
        <v>1183</v>
      </c>
      <c r="B871" s="1">
        <v>45921</v>
      </c>
      <c r="C871" t="s">
        <v>97</v>
      </c>
      <c r="D871" t="s">
        <v>19</v>
      </c>
      <c r="E871" t="s">
        <v>20</v>
      </c>
      <c r="F871" t="s">
        <v>14</v>
      </c>
      <c r="G871">
        <v>5</v>
      </c>
      <c r="H871">
        <v>0</v>
      </c>
      <c r="I871">
        <v>900</v>
      </c>
      <c r="J871">
        <v>172.88</v>
      </c>
    </row>
    <row r="872" spans="1:10" x14ac:dyDescent="0.25">
      <c r="A872" t="s">
        <v>1184</v>
      </c>
      <c r="B872" s="1">
        <v>45922</v>
      </c>
      <c r="C872" t="s">
        <v>888</v>
      </c>
      <c r="D872" t="s">
        <v>19</v>
      </c>
      <c r="E872" t="s">
        <v>20</v>
      </c>
      <c r="F872" t="s">
        <v>21</v>
      </c>
      <c r="G872">
        <v>3</v>
      </c>
      <c r="H872">
        <v>0.15</v>
      </c>
      <c r="I872">
        <v>459</v>
      </c>
      <c r="J872">
        <v>25.29</v>
      </c>
    </row>
    <row r="873" spans="1:10" x14ac:dyDescent="0.25">
      <c r="A873" t="s">
        <v>1185</v>
      </c>
      <c r="B873" s="1">
        <v>45922</v>
      </c>
      <c r="C873" t="s">
        <v>336</v>
      </c>
      <c r="D873" t="s">
        <v>73</v>
      </c>
      <c r="E873" t="s">
        <v>74</v>
      </c>
      <c r="F873" t="s">
        <v>21</v>
      </c>
      <c r="G873">
        <v>5</v>
      </c>
      <c r="H873">
        <v>0</v>
      </c>
      <c r="I873">
        <v>40</v>
      </c>
      <c r="J873">
        <v>9.77</v>
      </c>
    </row>
    <row r="874" spans="1:10" x14ac:dyDescent="0.25">
      <c r="A874" t="s">
        <v>1186</v>
      </c>
      <c r="B874" s="1">
        <v>45922</v>
      </c>
      <c r="C874" t="s">
        <v>285</v>
      </c>
      <c r="D874" t="s">
        <v>81</v>
      </c>
      <c r="E874" t="s">
        <v>13</v>
      </c>
      <c r="F874" t="s">
        <v>21</v>
      </c>
      <c r="G874">
        <v>4</v>
      </c>
      <c r="H874">
        <v>0</v>
      </c>
      <c r="I874">
        <v>180</v>
      </c>
      <c r="J874">
        <v>53.8</v>
      </c>
    </row>
    <row r="875" spans="1:10" x14ac:dyDescent="0.25">
      <c r="A875" t="s">
        <v>1187</v>
      </c>
      <c r="B875" s="1">
        <v>45923</v>
      </c>
      <c r="C875" t="s">
        <v>212</v>
      </c>
      <c r="D875" t="s">
        <v>24</v>
      </c>
      <c r="E875" t="s">
        <v>20</v>
      </c>
      <c r="F875" t="s">
        <v>21</v>
      </c>
      <c r="G875">
        <v>1</v>
      </c>
      <c r="H875">
        <v>0.15</v>
      </c>
      <c r="I875">
        <v>187</v>
      </c>
      <c r="J875">
        <v>44.04</v>
      </c>
    </row>
    <row r="876" spans="1:10" x14ac:dyDescent="0.25">
      <c r="A876" t="s">
        <v>1188</v>
      </c>
      <c r="B876" s="1">
        <v>45923</v>
      </c>
      <c r="C876" t="s">
        <v>616</v>
      </c>
      <c r="D876" t="s">
        <v>12</v>
      </c>
      <c r="E876" t="s">
        <v>13</v>
      </c>
      <c r="F876" t="s">
        <v>14</v>
      </c>
      <c r="G876">
        <v>1</v>
      </c>
      <c r="H876">
        <v>0.15</v>
      </c>
      <c r="I876">
        <v>46.75</v>
      </c>
      <c r="J876">
        <v>12.51</v>
      </c>
    </row>
    <row r="877" spans="1:10" x14ac:dyDescent="0.25">
      <c r="A877" t="s">
        <v>1189</v>
      </c>
      <c r="B877" s="1">
        <v>45923</v>
      </c>
      <c r="C877" t="s">
        <v>848</v>
      </c>
      <c r="D877" t="s">
        <v>24</v>
      </c>
      <c r="E877" t="s">
        <v>20</v>
      </c>
      <c r="F877" t="s">
        <v>38</v>
      </c>
      <c r="G877">
        <v>2</v>
      </c>
      <c r="H877">
        <v>0.1</v>
      </c>
      <c r="I877">
        <v>396</v>
      </c>
      <c r="J877">
        <v>89.68</v>
      </c>
    </row>
    <row r="878" spans="1:10" x14ac:dyDescent="0.25">
      <c r="A878" t="s">
        <v>1190</v>
      </c>
      <c r="B878" s="1">
        <v>45923</v>
      </c>
      <c r="C878" t="s">
        <v>633</v>
      </c>
      <c r="D878" t="s">
        <v>12</v>
      </c>
      <c r="E878" t="s">
        <v>13</v>
      </c>
      <c r="F878" t="s">
        <v>14</v>
      </c>
      <c r="G878">
        <v>3</v>
      </c>
      <c r="H878">
        <v>0.05</v>
      </c>
      <c r="I878">
        <v>156.75</v>
      </c>
      <c r="J878">
        <v>29.63</v>
      </c>
    </row>
    <row r="879" spans="1:10" x14ac:dyDescent="0.25">
      <c r="A879" t="s">
        <v>1191</v>
      </c>
      <c r="B879" s="1">
        <v>45924</v>
      </c>
      <c r="C879" t="s">
        <v>226</v>
      </c>
      <c r="D879" t="s">
        <v>73</v>
      </c>
      <c r="E879" t="s">
        <v>74</v>
      </c>
      <c r="F879" t="s">
        <v>14</v>
      </c>
      <c r="G879">
        <v>3</v>
      </c>
      <c r="H879">
        <v>0.15</v>
      </c>
      <c r="I879">
        <v>20.399999999999999</v>
      </c>
      <c r="J879">
        <v>2.7</v>
      </c>
    </row>
    <row r="880" spans="1:10" x14ac:dyDescent="0.25">
      <c r="A880" t="s">
        <v>1192</v>
      </c>
      <c r="B880" s="1">
        <v>45924</v>
      </c>
      <c r="C880" t="s">
        <v>571</v>
      </c>
      <c r="D880" t="s">
        <v>91</v>
      </c>
      <c r="E880" t="s">
        <v>13</v>
      </c>
      <c r="F880" t="s">
        <v>38</v>
      </c>
      <c r="G880">
        <v>2</v>
      </c>
      <c r="H880">
        <v>0.15</v>
      </c>
      <c r="I880">
        <v>51</v>
      </c>
      <c r="J880">
        <v>6.22</v>
      </c>
    </row>
    <row r="881" spans="1:10" x14ac:dyDescent="0.25">
      <c r="A881" t="s">
        <v>1193</v>
      </c>
      <c r="B881" s="1">
        <v>45924</v>
      </c>
      <c r="C881" t="s">
        <v>750</v>
      </c>
      <c r="D881" t="s">
        <v>50</v>
      </c>
      <c r="E881" t="s">
        <v>28</v>
      </c>
      <c r="F881" t="s">
        <v>29</v>
      </c>
      <c r="G881">
        <v>5</v>
      </c>
      <c r="H881">
        <v>0.05</v>
      </c>
      <c r="I881">
        <v>1140</v>
      </c>
      <c r="J881">
        <v>166.09</v>
      </c>
    </row>
    <row r="882" spans="1:10" x14ac:dyDescent="0.25">
      <c r="A882" t="s">
        <v>1194</v>
      </c>
      <c r="B882" s="1">
        <v>45925</v>
      </c>
      <c r="C882" t="s">
        <v>385</v>
      </c>
      <c r="D882" t="s">
        <v>32</v>
      </c>
      <c r="E882" t="s">
        <v>28</v>
      </c>
      <c r="F882" t="s">
        <v>14</v>
      </c>
      <c r="G882">
        <v>1</v>
      </c>
      <c r="H882">
        <v>0.1</v>
      </c>
      <c r="I882">
        <v>450</v>
      </c>
      <c r="J882">
        <v>121.52</v>
      </c>
    </row>
    <row r="883" spans="1:10" x14ac:dyDescent="0.25">
      <c r="A883" t="s">
        <v>1195</v>
      </c>
      <c r="B883" s="1">
        <v>45925</v>
      </c>
      <c r="C883" t="s">
        <v>297</v>
      </c>
      <c r="D883" t="s">
        <v>73</v>
      </c>
      <c r="E883" t="s">
        <v>74</v>
      </c>
      <c r="F883" t="s">
        <v>21</v>
      </c>
      <c r="G883">
        <v>5</v>
      </c>
      <c r="H883">
        <v>0.1</v>
      </c>
      <c r="I883">
        <v>36</v>
      </c>
      <c r="J883">
        <v>9.39</v>
      </c>
    </row>
    <row r="884" spans="1:10" x14ac:dyDescent="0.25">
      <c r="A884" t="s">
        <v>1196</v>
      </c>
      <c r="B884" s="1">
        <v>45925</v>
      </c>
      <c r="C884" t="s">
        <v>739</v>
      </c>
      <c r="D884" t="s">
        <v>12</v>
      </c>
      <c r="E884" t="s">
        <v>13</v>
      </c>
      <c r="F884" t="s">
        <v>29</v>
      </c>
      <c r="G884">
        <v>5</v>
      </c>
      <c r="H884">
        <v>0</v>
      </c>
      <c r="I884">
        <v>275</v>
      </c>
      <c r="J884">
        <v>96.64</v>
      </c>
    </row>
    <row r="885" spans="1:10" x14ac:dyDescent="0.25">
      <c r="A885" t="s">
        <v>1197</v>
      </c>
      <c r="B885" s="1">
        <v>45926</v>
      </c>
      <c r="C885" t="s">
        <v>121</v>
      </c>
      <c r="D885" t="s">
        <v>32</v>
      </c>
      <c r="E885" t="s">
        <v>28</v>
      </c>
      <c r="F885" t="s">
        <v>38</v>
      </c>
      <c r="G885">
        <v>4</v>
      </c>
      <c r="H885">
        <v>0.05</v>
      </c>
      <c r="I885">
        <v>1900</v>
      </c>
      <c r="J885">
        <v>455.32</v>
      </c>
    </row>
    <row r="886" spans="1:10" x14ac:dyDescent="0.25">
      <c r="A886" t="s">
        <v>1198</v>
      </c>
      <c r="B886" s="1">
        <v>45926</v>
      </c>
      <c r="C886" t="s">
        <v>543</v>
      </c>
      <c r="D886" t="s">
        <v>91</v>
      </c>
      <c r="E886" t="s">
        <v>13</v>
      </c>
      <c r="F886" t="s">
        <v>38</v>
      </c>
      <c r="G886">
        <v>2</v>
      </c>
      <c r="H886">
        <v>0</v>
      </c>
      <c r="I886">
        <v>60</v>
      </c>
      <c r="J886">
        <v>16.73</v>
      </c>
    </row>
    <row r="887" spans="1:10" x14ac:dyDescent="0.25">
      <c r="A887" t="s">
        <v>1199</v>
      </c>
      <c r="B887" s="1">
        <v>45926</v>
      </c>
      <c r="C887" t="s">
        <v>390</v>
      </c>
      <c r="D887" t="s">
        <v>91</v>
      </c>
      <c r="E887" t="s">
        <v>13</v>
      </c>
      <c r="F887" t="s">
        <v>38</v>
      </c>
      <c r="G887">
        <v>5</v>
      </c>
      <c r="H887">
        <v>0.2</v>
      </c>
      <c r="I887">
        <v>120</v>
      </c>
      <c r="J887">
        <v>20.94</v>
      </c>
    </row>
    <row r="888" spans="1:10" x14ac:dyDescent="0.25">
      <c r="A888" t="s">
        <v>1200</v>
      </c>
      <c r="B888" s="1">
        <v>45926</v>
      </c>
      <c r="C888" t="s">
        <v>202</v>
      </c>
      <c r="D888" t="s">
        <v>81</v>
      </c>
      <c r="E888" t="s">
        <v>13</v>
      </c>
      <c r="F888" t="s">
        <v>21</v>
      </c>
      <c r="G888">
        <v>2</v>
      </c>
      <c r="H888">
        <v>0</v>
      </c>
      <c r="I888">
        <v>90</v>
      </c>
      <c r="J888">
        <v>24.46</v>
      </c>
    </row>
    <row r="889" spans="1:10" x14ac:dyDescent="0.25">
      <c r="A889" t="s">
        <v>1201</v>
      </c>
      <c r="B889" s="1">
        <v>45927</v>
      </c>
      <c r="C889" t="s">
        <v>26</v>
      </c>
      <c r="D889" t="s">
        <v>91</v>
      </c>
      <c r="E889" t="s">
        <v>13</v>
      </c>
      <c r="F889" t="s">
        <v>21</v>
      </c>
      <c r="G889">
        <v>1</v>
      </c>
      <c r="H889">
        <v>0</v>
      </c>
      <c r="I889">
        <v>30</v>
      </c>
      <c r="J889">
        <v>10.38</v>
      </c>
    </row>
    <row r="890" spans="1:10" x14ac:dyDescent="0.25">
      <c r="A890" t="s">
        <v>1202</v>
      </c>
      <c r="B890" s="1">
        <v>45927</v>
      </c>
      <c r="C890" t="s">
        <v>571</v>
      </c>
      <c r="D890" t="s">
        <v>50</v>
      </c>
      <c r="E890" t="s">
        <v>28</v>
      </c>
      <c r="F890" t="s">
        <v>21</v>
      </c>
      <c r="G890">
        <v>4</v>
      </c>
      <c r="H890">
        <v>0.05</v>
      </c>
      <c r="I890">
        <v>912</v>
      </c>
      <c r="J890">
        <v>126.81</v>
      </c>
    </row>
    <row r="891" spans="1:10" x14ac:dyDescent="0.25">
      <c r="A891" t="s">
        <v>1203</v>
      </c>
      <c r="B891" s="1">
        <v>45927</v>
      </c>
      <c r="C891" t="s">
        <v>165</v>
      </c>
      <c r="D891" t="s">
        <v>37</v>
      </c>
      <c r="E891" t="s">
        <v>28</v>
      </c>
      <c r="F891" t="s">
        <v>29</v>
      </c>
      <c r="G891">
        <v>3</v>
      </c>
      <c r="H891">
        <v>0</v>
      </c>
      <c r="I891">
        <v>240</v>
      </c>
      <c r="J891">
        <v>59.02</v>
      </c>
    </row>
    <row r="892" spans="1:10" x14ac:dyDescent="0.25">
      <c r="A892" t="s">
        <v>1204</v>
      </c>
      <c r="B892" s="1">
        <v>45928</v>
      </c>
      <c r="C892" t="s">
        <v>240</v>
      </c>
      <c r="D892" t="s">
        <v>50</v>
      </c>
      <c r="E892" t="s">
        <v>28</v>
      </c>
      <c r="F892" t="s">
        <v>21</v>
      </c>
      <c r="G892">
        <v>4</v>
      </c>
      <c r="H892">
        <v>0.1</v>
      </c>
      <c r="I892">
        <v>864</v>
      </c>
      <c r="J892">
        <v>264.52999999999997</v>
      </c>
    </row>
    <row r="893" spans="1:10" x14ac:dyDescent="0.25">
      <c r="A893" t="s">
        <v>1205</v>
      </c>
      <c r="B893" s="1">
        <v>45928</v>
      </c>
      <c r="C893" t="s">
        <v>287</v>
      </c>
      <c r="D893" t="s">
        <v>32</v>
      </c>
      <c r="E893" t="s">
        <v>28</v>
      </c>
      <c r="F893" t="s">
        <v>14</v>
      </c>
      <c r="G893">
        <v>2</v>
      </c>
      <c r="H893">
        <v>0.1</v>
      </c>
      <c r="I893">
        <v>900</v>
      </c>
      <c r="J893">
        <v>134.27000000000001</v>
      </c>
    </row>
    <row r="894" spans="1:10" x14ac:dyDescent="0.25">
      <c r="A894" t="s">
        <v>1206</v>
      </c>
      <c r="B894" s="1">
        <v>45928</v>
      </c>
      <c r="C894" t="s">
        <v>698</v>
      </c>
      <c r="D894" t="s">
        <v>24</v>
      </c>
      <c r="E894" t="s">
        <v>20</v>
      </c>
      <c r="F894" t="s">
        <v>21</v>
      </c>
      <c r="G894">
        <v>1</v>
      </c>
      <c r="H894">
        <v>0</v>
      </c>
      <c r="I894">
        <v>220</v>
      </c>
      <c r="J894">
        <v>56.43</v>
      </c>
    </row>
    <row r="895" spans="1:10" x14ac:dyDescent="0.25">
      <c r="A895" t="s">
        <v>1207</v>
      </c>
      <c r="B895" s="1">
        <v>45929</v>
      </c>
      <c r="C895" t="s">
        <v>506</v>
      </c>
      <c r="D895" t="s">
        <v>12</v>
      </c>
      <c r="E895" t="s">
        <v>13</v>
      </c>
      <c r="F895" t="s">
        <v>38</v>
      </c>
      <c r="G895">
        <v>5</v>
      </c>
      <c r="H895">
        <v>0.05</v>
      </c>
      <c r="I895">
        <v>261.25</v>
      </c>
      <c r="J895">
        <v>40.020000000000003</v>
      </c>
    </row>
    <row r="896" spans="1:10" x14ac:dyDescent="0.25">
      <c r="A896" t="s">
        <v>1208</v>
      </c>
      <c r="B896" s="1">
        <v>45929</v>
      </c>
      <c r="C896" t="s">
        <v>381</v>
      </c>
      <c r="D896" t="s">
        <v>50</v>
      </c>
      <c r="E896" t="s">
        <v>28</v>
      </c>
      <c r="F896" t="s">
        <v>21</v>
      </c>
      <c r="G896">
        <v>3</v>
      </c>
      <c r="H896">
        <v>0.15</v>
      </c>
      <c r="I896">
        <v>612</v>
      </c>
      <c r="J896">
        <v>118.81</v>
      </c>
    </row>
    <row r="897" spans="1:10" x14ac:dyDescent="0.25">
      <c r="A897" t="s">
        <v>1209</v>
      </c>
      <c r="B897" s="1">
        <v>45929</v>
      </c>
      <c r="C897" t="s">
        <v>137</v>
      </c>
      <c r="D897" t="s">
        <v>81</v>
      </c>
      <c r="E897" t="s">
        <v>13</v>
      </c>
      <c r="F897" t="s">
        <v>38</v>
      </c>
      <c r="G897">
        <v>5</v>
      </c>
      <c r="H897">
        <v>0</v>
      </c>
      <c r="I897">
        <v>225</v>
      </c>
      <c r="J897">
        <v>67.53</v>
      </c>
    </row>
    <row r="898" spans="1:10" x14ac:dyDescent="0.25">
      <c r="A898" t="s">
        <v>1210</v>
      </c>
      <c r="B898" s="1">
        <v>45930</v>
      </c>
      <c r="C898" t="s">
        <v>1145</v>
      </c>
      <c r="D898" t="s">
        <v>12</v>
      </c>
      <c r="E898" t="s">
        <v>13</v>
      </c>
      <c r="F898" t="s">
        <v>14</v>
      </c>
      <c r="G898">
        <v>3</v>
      </c>
      <c r="H898">
        <v>0.05</v>
      </c>
      <c r="I898">
        <v>156.75</v>
      </c>
      <c r="J898">
        <v>30.33</v>
      </c>
    </row>
    <row r="899" spans="1:10" x14ac:dyDescent="0.25">
      <c r="A899" t="s">
        <v>1211</v>
      </c>
      <c r="B899" s="1">
        <v>45930</v>
      </c>
      <c r="C899" t="s">
        <v>911</v>
      </c>
      <c r="D899" t="s">
        <v>32</v>
      </c>
      <c r="E899" t="s">
        <v>28</v>
      </c>
      <c r="F899" t="s">
        <v>14</v>
      </c>
      <c r="G899">
        <v>4</v>
      </c>
      <c r="H899">
        <v>0.15</v>
      </c>
      <c r="I899">
        <v>1700</v>
      </c>
      <c r="J899">
        <v>113.43</v>
      </c>
    </row>
    <row r="900" spans="1:10" x14ac:dyDescent="0.25">
      <c r="A900" t="s">
        <v>1212</v>
      </c>
      <c r="B900" s="1">
        <v>45930</v>
      </c>
      <c r="C900" t="s">
        <v>1213</v>
      </c>
      <c r="D900" t="s">
        <v>73</v>
      </c>
      <c r="E900" t="s">
        <v>74</v>
      </c>
      <c r="F900" t="s">
        <v>21</v>
      </c>
      <c r="G900">
        <v>3</v>
      </c>
      <c r="H900">
        <v>0</v>
      </c>
      <c r="I900">
        <v>24</v>
      </c>
      <c r="J900">
        <v>7.12</v>
      </c>
    </row>
    <row r="901" spans="1:10" x14ac:dyDescent="0.25">
      <c r="A901" t="s">
        <v>1214</v>
      </c>
      <c r="B901" s="1">
        <v>45930</v>
      </c>
      <c r="C901" t="s">
        <v>362</v>
      </c>
      <c r="D901" t="s">
        <v>12</v>
      </c>
      <c r="E901" t="s">
        <v>13</v>
      </c>
      <c r="F901" t="s">
        <v>21</v>
      </c>
      <c r="G901">
        <v>4</v>
      </c>
      <c r="H901">
        <v>0.2</v>
      </c>
      <c r="I901">
        <v>176</v>
      </c>
      <c r="J901">
        <v>33.65</v>
      </c>
    </row>
    <row r="902" spans="1:10" x14ac:dyDescent="0.25">
      <c r="A902" t="s">
        <v>1215</v>
      </c>
      <c r="B902" s="1">
        <v>45931</v>
      </c>
      <c r="C902" t="s">
        <v>224</v>
      </c>
      <c r="D902" t="s">
        <v>91</v>
      </c>
      <c r="E902" t="s">
        <v>13</v>
      </c>
      <c r="F902" t="s">
        <v>29</v>
      </c>
      <c r="G902">
        <v>4</v>
      </c>
      <c r="H902">
        <v>0.1</v>
      </c>
      <c r="I902">
        <v>108</v>
      </c>
      <c r="J902">
        <v>19.88</v>
      </c>
    </row>
    <row r="903" spans="1:10" x14ac:dyDescent="0.25">
      <c r="A903" t="s">
        <v>1216</v>
      </c>
      <c r="B903" s="1">
        <v>45931</v>
      </c>
      <c r="C903" t="s">
        <v>1162</v>
      </c>
      <c r="D903" t="s">
        <v>24</v>
      </c>
      <c r="E903" t="s">
        <v>20</v>
      </c>
      <c r="F903" t="s">
        <v>29</v>
      </c>
      <c r="G903">
        <v>1</v>
      </c>
      <c r="H903">
        <v>0.05</v>
      </c>
      <c r="I903">
        <v>209</v>
      </c>
      <c r="J903">
        <v>57.01</v>
      </c>
    </row>
    <row r="904" spans="1:10" x14ac:dyDescent="0.25">
      <c r="A904" t="s">
        <v>1217</v>
      </c>
      <c r="B904" s="1">
        <v>45931</v>
      </c>
      <c r="C904" t="s">
        <v>462</v>
      </c>
      <c r="D904" t="s">
        <v>12</v>
      </c>
      <c r="E904" t="s">
        <v>13</v>
      </c>
      <c r="F904" t="s">
        <v>38</v>
      </c>
      <c r="G904">
        <v>3</v>
      </c>
      <c r="H904">
        <v>0.1</v>
      </c>
      <c r="I904">
        <v>148.5</v>
      </c>
      <c r="J904">
        <v>26.76</v>
      </c>
    </row>
    <row r="905" spans="1:10" x14ac:dyDescent="0.25">
      <c r="A905" t="s">
        <v>1218</v>
      </c>
      <c r="B905" s="1">
        <v>45932</v>
      </c>
      <c r="C905" t="s">
        <v>16</v>
      </c>
      <c r="D905" t="s">
        <v>37</v>
      </c>
      <c r="E905" t="s">
        <v>28</v>
      </c>
      <c r="F905" t="s">
        <v>38</v>
      </c>
      <c r="G905">
        <v>1</v>
      </c>
      <c r="H905">
        <v>0.1</v>
      </c>
      <c r="I905">
        <v>72</v>
      </c>
      <c r="J905">
        <v>19.22</v>
      </c>
    </row>
    <row r="906" spans="1:10" x14ac:dyDescent="0.25">
      <c r="A906" t="s">
        <v>1219</v>
      </c>
      <c r="B906" s="1">
        <v>45932</v>
      </c>
      <c r="C906" t="s">
        <v>275</v>
      </c>
      <c r="D906" t="s">
        <v>91</v>
      </c>
      <c r="E906" t="s">
        <v>13</v>
      </c>
      <c r="F906" t="s">
        <v>38</v>
      </c>
      <c r="G906">
        <v>3</v>
      </c>
      <c r="H906">
        <v>0.05</v>
      </c>
      <c r="I906">
        <v>85.5</v>
      </c>
      <c r="J906">
        <v>15.66</v>
      </c>
    </row>
    <row r="907" spans="1:10" x14ac:dyDescent="0.25">
      <c r="A907" t="s">
        <v>1220</v>
      </c>
      <c r="B907" s="1">
        <v>45932</v>
      </c>
      <c r="C907" t="s">
        <v>169</v>
      </c>
      <c r="D907" t="s">
        <v>50</v>
      </c>
      <c r="E907" t="s">
        <v>28</v>
      </c>
      <c r="F907" t="s">
        <v>29</v>
      </c>
      <c r="G907">
        <v>5</v>
      </c>
      <c r="H907">
        <v>0.1</v>
      </c>
      <c r="I907">
        <v>1080</v>
      </c>
      <c r="J907">
        <v>144.9</v>
      </c>
    </row>
    <row r="908" spans="1:10" x14ac:dyDescent="0.25">
      <c r="A908" t="s">
        <v>1221</v>
      </c>
      <c r="B908" s="1">
        <v>45933</v>
      </c>
      <c r="C908" t="s">
        <v>216</v>
      </c>
      <c r="D908" t="s">
        <v>27</v>
      </c>
      <c r="E908" t="s">
        <v>28</v>
      </c>
      <c r="F908" t="s">
        <v>14</v>
      </c>
      <c r="G908">
        <v>4</v>
      </c>
      <c r="H908">
        <v>0.05</v>
      </c>
      <c r="I908">
        <v>2470</v>
      </c>
      <c r="J908">
        <v>640.07000000000005</v>
      </c>
    </row>
    <row r="909" spans="1:10" x14ac:dyDescent="0.25">
      <c r="A909" t="s">
        <v>1222</v>
      </c>
      <c r="B909" s="1">
        <v>45933</v>
      </c>
      <c r="C909" t="s">
        <v>240</v>
      </c>
      <c r="D909" t="s">
        <v>37</v>
      </c>
      <c r="E909" t="s">
        <v>28</v>
      </c>
      <c r="F909" t="s">
        <v>14</v>
      </c>
      <c r="G909">
        <v>1</v>
      </c>
      <c r="H909">
        <v>0.05</v>
      </c>
      <c r="I909">
        <v>76</v>
      </c>
      <c r="J909">
        <v>19.75</v>
      </c>
    </row>
    <row r="910" spans="1:10" x14ac:dyDescent="0.25">
      <c r="A910" t="s">
        <v>1223</v>
      </c>
      <c r="B910" s="1">
        <v>45933</v>
      </c>
      <c r="C910" t="s">
        <v>93</v>
      </c>
      <c r="D910" t="s">
        <v>81</v>
      </c>
      <c r="E910" t="s">
        <v>13</v>
      </c>
      <c r="F910" t="s">
        <v>38</v>
      </c>
      <c r="G910">
        <v>5</v>
      </c>
      <c r="H910">
        <v>0.05</v>
      </c>
      <c r="I910">
        <v>213.75</v>
      </c>
      <c r="J910">
        <v>69.540000000000006</v>
      </c>
    </row>
    <row r="911" spans="1:10" x14ac:dyDescent="0.25">
      <c r="A911" t="s">
        <v>1224</v>
      </c>
      <c r="B911" s="1">
        <v>45933</v>
      </c>
      <c r="C911" t="s">
        <v>411</v>
      </c>
      <c r="D911" t="s">
        <v>24</v>
      </c>
      <c r="E911" t="s">
        <v>20</v>
      </c>
      <c r="F911" t="s">
        <v>29</v>
      </c>
      <c r="G911">
        <v>3</v>
      </c>
      <c r="H911">
        <v>0</v>
      </c>
      <c r="I911">
        <v>660</v>
      </c>
      <c r="J911">
        <v>246.72</v>
      </c>
    </row>
    <row r="912" spans="1:10" x14ac:dyDescent="0.25">
      <c r="A912" t="s">
        <v>1225</v>
      </c>
      <c r="B912" s="1">
        <v>45934</v>
      </c>
      <c r="C912" t="s">
        <v>943</v>
      </c>
      <c r="D912" t="s">
        <v>91</v>
      </c>
      <c r="E912" t="s">
        <v>13</v>
      </c>
      <c r="F912" t="s">
        <v>14</v>
      </c>
      <c r="G912">
        <v>5</v>
      </c>
      <c r="H912">
        <v>0.05</v>
      </c>
      <c r="I912">
        <v>142.5</v>
      </c>
      <c r="J912">
        <v>30.24</v>
      </c>
    </row>
    <row r="913" spans="1:10" x14ac:dyDescent="0.25">
      <c r="A913" t="s">
        <v>1226</v>
      </c>
      <c r="B913" s="1">
        <v>45934</v>
      </c>
      <c r="C913" t="s">
        <v>268</v>
      </c>
      <c r="D913" t="s">
        <v>27</v>
      </c>
      <c r="E913" t="s">
        <v>28</v>
      </c>
      <c r="F913" t="s">
        <v>14</v>
      </c>
      <c r="G913">
        <v>4</v>
      </c>
      <c r="H913">
        <v>0</v>
      </c>
      <c r="I913">
        <v>2600</v>
      </c>
      <c r="J913">
        <v>682.19</v>
      </c>
    </row>
    <row r="914" spans="1:10" x14ac:dyDescent="0.25">
      <c r="A914" t="s">
        <v>1227</v>
      </c>
      <c r="B914" s="1">
        <v>45934</v>
      </c>
      <c r="C914" t="s">
        <v>373</v>
      </c>
      <c r="D914" t="s">
        <v>32</v>
      </c>
      <c r="E914" t="s">
        <v>28</v>
      </c>
      <c r="F914" t="s">
        <v>21</v>
      </c>
      <c r="G914">
        <v>3</v>
      </c>
      <c r="H914">
        <v>0.1</v>
      </c>
      <c r="I914">
        <v>1350</v>
      </c>
      <c r="J914">
        <v>331.28</v>
      </c>
    </row>
    <row r="915" spans="1:10" x14ac:dyDescent="0.25">
      <c r="A915" t="s">
        <v>1228</v>
      </c>
      <c r="B915" s="1">
        <v>45935</v>
      </c>
      <c r="C915" t="s">
        <v>357</v>
      </c>
      <c r="D915" t="s">
        <v>32</v>
      </c>
      <c r="E915" t="s">
        <v>28</v>
      </c>
      <c r="F915" t="s">
        <v>14</v>
      </c>
      <c r="G915">
        <v>1</v>
      </c>
      <c r="H915">
        <v>0.05</v>
      </c>
      <c r="I915">
        <v>475</v>
      </c>
      <c r="J915">
        <v>145.13999999999999</v>
      </c>
    </row>
    <row r="916" spans="1:10" x14ac:dyDescent="0.25">
      <c r="A916" t="s">
        <v>1229</v>
      </c>
      <c r="B916" s="1">
        <v>45935</v>
      </c>
      <c r="C916" t="s">
        <v>846</v>
      </c>
      <c r="D916" t="s">
        <v>81</v>
      </c>
      <c r="E916" t="s">
        <v>13</v>
      </c>
      <c r="F916" t="s">
        <v>38</v>
      </c>
      <c r="G916">
        <v>5</v>
      </c>
      <c r="H916">
        <v>0.05</v>
      </c>
      <c r="I916">
        <v>213.75</v>
      </c>
      <c r="J916">
        <v>46.56</v>
      </c>
    </row>
    <row r="917" spans="1:10" x14ac:dyDescent="0.25">
      <c r="A917" t="s">
        <v>1230</v>
      </c>
      <c r="B917" s="1">
        <v>45935</v>
      </c>
      <c r="C917" t="s">
        <v>848</v>
      </c>
      <c r="D917" t="s">
        <v>12</v>
      </c>
      <c r="E917" t="s">
        <v>13</v>
      </c>
      <c r="F917" t="s">
        <v>29</v>
      </c>
      <c r="G917">
        <v>2</v>
      </c>
      <c r="H917">
        <v>0.15</v>
      </c>
      <c r="I917">
        <v>93.5</v>
      </c>
      <c r="J917">
        <v>9.57</v>
      </c>
    </row>
    <row r="918" spans="1:10" x14ac:dyDescent="0.25">
      <c r="A918" t="s">
        <v>1231</v>
      </c>
      <c r="B918" s="1">
        <v>45936</v>
      </c>
      <c r="C918" t="s">
        <v>271</v>
      </c>
      <c r="D918" t="s">
        <v>91</v>
      </c>
      <c r="E918" t="s">
        <v>13</v>
      </c>
      <c r="F918" t="s">
        <v>38</v>
      </c>
      <c r="G918">
        <v>4</v>
      </c>
      <c r="H918">
        <v>0.05</v>
      </c>
      <c r="I918">
        <v>114</v>
      </c>
      <c r="J918">
        <v>25.08</v>
      </c>
    </row>
    <row r="919" spans="1:10" x14ac:dyDescent="0.25">
      <c r="A919" t="s">
        <v>1232</v>
      </c>
      <c r="B919" s="1">
        <v>45936</v>
      </c>
      <c r="C919" t="s">
        <v>350</v>
      </c>
      <c r="D919" t="s">
        <v>91</v>
      </c>
      <c r="E919" t="s">
        <v>13</v>
      </c>
      <c r="F919" t="s">
        <v>29</v>
      </c>
      <c r="G919">
        <v>1</v>
      </c>
      <c r="H919">
        <v>0.05</v>
      </c>
      <c r="I919">
        <v>28.5</v>
      </c>
      <c r="J919">
        <v>8.14</v>
      </c>
    </row>
    <row r="920" spans="1:10" x14ac:dyDescent="0.25">
      <c r="A920" t="s">
        <v>1233</v>
      </c>
      <c r="B920" s="1">
        <v>45936</v>
      </c>
      <c r="C920" t="s">
        <v>987</v>
      </c>
      <c r="D920" t="s">
        <v>32</v>
      </c>
      <c r="E920" t="s">
        <v>28</v>
      </c>
      <c r="F920" t="s">
        <v>38</v>
      </c>
      <c r="G920">
        <v>1</v>
      </c>
      <c r="H920">
        <v>0.15</v>
      </c>
      <c r="I920">
        <v>425</v>
      </c>
      <c r="J920">
        <v>69.150000000000006</v>
      </c>
    </row>
    <row r="921" spans="1:10" x14ac:dyDescent="0.25">
      <c r="A921" t="s">
        <v>1234</v>
      </c>
      <c r="B921" s="1">
        <v>45936</v>
      </c>
      <c r="C921" t="s">
        <v>599</v>
      </c>
      <c r="D921" t="s">
        <v>37</v>
      </c>
      <c r="E921" t="s">
        <v>28</v>
      </c>
      <c r="F921" t="s">
        <v>21</v>
      </c>
      <c r="G921">
        <v>2</v>
      </c>
      <c r="H921">
        <v>0.15</v>
      </c>
      <c r="I921">
        <v>136</v>
      </c>
      <c r="J921">
        <v>36.19</v>
      </c>
    </row>
    <row r="922" spans="1:10" x14ac:dyDescent="0.25">
      <c r="A922" t="s">
        <v>1235</v>
      </c>
      <c r="B922" s="1">
        <v>45937</v>
      </c>
      <c r="C922" t="s">
        <v>49</v>
      </c>
      <c r="D922" t="s">
        <v>50</v>
      </c>
      <c r="E922" t="s">
        <v>28</v>
      </c>
      <c r="F922" t="s">
        <v>21</v>
      </c>
      <c r="G922">
        <v>3</v>
      </c>
      <c r="H922">
        <v>0</v>
      </c>
      <c r="I922">
        <v>720</v>
      </c>
      <c r="J922">
        <v>240.32</v>
      </c>
    </row>
    <row r="923" spans="1:10" x14ac:dyDescent="0.25">
      <c r="A923" t="s">
        <v>1236</v>
      </c>
      <c r="B923" s="1">
        <v>45937</v>
      </c>
      <c r="C923" t="s">
        <v>547</v>
      </c>
      <c r="D923" t="s">
        <v>24</v>
      </c>
      <c r="E923" t="s">
        <v>20</v>
      </c>
      <c r="F923" t="s">
        <v>29</v>
      </c>
      <c r="G923">
        <v>3</v>
      </c>
      <c r="H923">
        <v>0</v>
      </c>
      <c r="I923">
        <v>660</v>
      </c>
      <c r="J923">
        <v>232.57</v>
      </c>
    </row>
    <row r="924" spans="1:10" x14ac:dyDescent="0.25">
      <c r="A924" t="s">
        <v>1237</v>
      </c>
      <c r="B924" s="1">
        <v>45937</v>
      </c>
      <c r="C924" t="s">
        <v>515</v>
      </c>
      <c r="D924" t="s">
        <v>24</v>
      </c>
      <c r="E924" t="s">
        <v>20</v>
      </c>
      <c r="F924" t="s">
        <v>21</v>
      </c>
      <c r="G924">
        <v>2</v>
      </c>
      <c r="H924">
        <v>0.2</v>
      </c>
      <c r="I924">
        <v>352</v>
      </c>
      <c r="J924">
        <v>75.650000000000006</v>
      </c>
    </row>
    <row r="925" spans="1:10" x14ac:dyDescent="0.25">
      <c r="A925" t="s">
        <v>1238</v>
      </c>
      <c r="B925" s="1">
        <v>45938</v>
      </c>
      <c r="C925" t="s">
        <v>99</v>
      </c>
      <c r="D925" t="s">
        <v>81</v>
      </c>
      <c r="E925" t="s">
        <v>13</v>
      </c>
      <c r="F925" t="s">
        <v>14</v>
      </c>
      <c r="G925">
        <v>4</v>
      </c>
      <c r="H925">
        <v>0</v>
      </c>
      <c r="I925">
        <v>180</v>
      </c>
      <c r="J925">
        <v>33.24</v>
      </c>
    </row>
    <row r="926" spans="1:10" x14ac:dyDescent="0.25">
      <c r="A926" t="s">
        <v>1239</v>
      </c>
      <c r="B926" s="1">
        <v>45938</v>
      </c>
      <c r="C926" t="s">
        <v>488</v>
      </c>
      <c r="D926" t="s">
        <v>73</v>
      </c>
      <c r="E926" t="s">
        <v>74</v>
      </c>
      <c r="F926" t="s">
        <v>21</v>
      </c>
      <c r="G926">
        <v>3</v>
      </c>
      <c r="H926">
        <v>0.15</v>
      </c>
      <c r="I926">
        <v>20.399999999999999</v>
      </c>
      <c r="J926">
        <v>4.79</v>
      </c>
    </row>
    <row r="927" spans="1:10" x14ac:dyDescent="0.25">
      <c r="A927" t="s">
        <v>1240</v>
      </c>
      <c r="B927" s="1">
        <v>45938</v>
      </c>
      <c r="C927" t="s">
        <v>943</v>
      </c>
      <c r="D927" t="s">
        <v>19</v>
      </c>
      <c r="E927" t="s">
        <v>20</v>
      </c>
      <c r="F927" t="s">
        <v>14</v>
      </c>
      <c r="G927">
        <v>4</v>
      </c>
      <c r="H927">
        <v>0</v>
      </c>
      <c r="I927">
        <v>720</v>
      </c>
      <c r="J927">
        <v>247.33</v>
      </c>
    </row>
    <row r="928" spans="1:10" x14ac:dyDescent="0.25">
      <c r="A928" t="s">
        <v>1241</v>
      </c>
      <c r="B928" s="1">
        <v>45939</v>
      </c>
      <c r="C928" t="s">
        <v>633</v>
      </c>
      <c r="D928" t="s">
        <v>73</v>
      </c>
      <c r="E928" t="s">
        <v>74</v>
      </c>
      <c r="F928" t="s">
        <v>38</v>
      </c>
      <c r="G928">
        <v>4</v>
      </c>
      <c r="H928">
        <v>0</v>
      </c>
      <c r="I928">
        <v>32</v>
      </c>
      <c r="J928">
        <v>8.93</v>
      </c>
    </row>
    <row r="929" spans="1:10" x14ac:dyDescent="0.25">
      <c r="A929" t="s">
        <v>1242</v>
      </c>
      <c r="B929" s="1">
        <v>45939</v>
      </c>
      <c r="C929" t="s">
        <v>885</v>
      </c>
      <c r="D929" t="s">
        <v>37</v>
      </c>
      <c r="E929" t="s">
        <v>28</v>
      </c>
      <c r="F929" t="s">
        <v>38</v>
      </c>
      <c r="G929">
        <v>3</v>
      </c>
      <c r="H929">
        <v>0.1</v>
      </c>
      <c r="I929">
        <v>216</v>
      </c>
      <c r="J929">
        <v>31.43</v>
      </c>
    </row>
    <row r="930" spans="1:10" x14ac:dyDescent="0.25">
      <c r="A930" t="s">
        <v>1243</v>
      </c>
      <c r="B930" s="1">
        <v>45939</v>
      </c>
      <c r="C930" t="s">
        <v>58</v>
      </c>
      <c r="D930" t="s">
        <v>32</v>
      </c>
      <c r="E930" t="s">
        <v>28</v>
      </c>
      <c r="F930" t="s">
        <v>38</v>
      </c>
      <c r="G930">
        <v>1</v>
      </c>
      <c r="H930">
        <v>0.05</v>
      </c>
      <c r="I930">
        <v>475</v>
      </c>
      <c r="J930">
        <v>89.87</v>
      </c>
    </row>
    <row r="931" spans="1:10" x14ac:dyDescent="0.25">
      <c r="A931" t="s">
        <v>1244</v>
      </c>
      <c r="B931" s="1">
        <v>45940</v>
      </c>
      <c r="C931" t="s">
        <v>184</v>
      </c>
      <c r="D931" t="s">
        <v>27</v>
      </c>
      <c r="E931" t="s">
        <v>28</v>
      </c>
      <c r="F931" t="s">
        <v>38</v>
      </c>
      <c r="G931">
        <v>3</v>
      </c>
      <c r="H931">
        <v>0.2</v>
      </c>
      <c r="I931">
        <v>1560</v>
      </c>
      <c r="J931">
        <v>204.1</v>
      </c>
    </row>
    <row r="932" spans="1:10" x14ac:dyDescent="0.25">
      <c r="A932" t="s">
        <v>1245</v>
      </c>
      <c r="B932" s="1">
        <v>45940</v>
      </c>
      <c r="C932" t="s">
        <v>806</v>
      </c>
      <c r="D932" t="s">
        <v>81</v>
      </c>
      <c r="E932" t="s">
        <v>13</v>
      </c>
      <c r="F932" t="s">
        <v>21</v>
      </c>
      <c r="G932">
        <v>3</v>
      </c>
      <c r="H932">
        <v>0</v>
      </c>
      <c r="I932">
        <v>135</v>
      </c>
      <c r="J932">
        <v>42.74</v>
      </c>
    </row>
    <row r="933" spans="1:10" x14ac:dyDescent="0.25">
      <c r="A933" t="s">
        <v>1246</v>
      </c>
      <c r="B933" s="1">
        <v>45940</v>
      </c>
      <c r="C933" t="s">
        <v>357</v>
      </c>
      <c r="D933" t="s">
        <v>27</v>
      </c>
      <c r="E933" t="s">
        <v>28</v>
      </c>
      <c r="F933" t="s">
        <v>29</v>
      </c>
      <c r="G933">
        <v>5</v>
      </c>
      <c r="H933">
        <v>0.15</v>
      </c>
      <c r="I933">
        <v>2762.5</v>
      </c>
      <c r="J933">
        <v>190.3</v>
      </c>
    </row>
    <row r="934" spans="1:10" x14ac:dyDescent="0.25">
      <c r="A934" t="s">
        <v>1247</v>
      </c>
      <c r="B934" s="1">
        <v>45940</v>
      </c>
      <c r="C934" t="s">
        <v>837</v>
      </c>
      <c r="D934" t="s">
        <v>50</v>
      </c>
      <c r="E934" t="s">
        <v>28</v>
      </c>
      <c r="F934" t="s">
        <v>29</v>
      </c>
      <c r="G934">
        <v>2</v>
      </c>
      <c r="H934">
        <v>0.2</v>
      </c>
      <c r="I934">
        <v>384</v>
      </c>
      <c r="J934">
        <v>20.88</v>
      </c>
    </row>
    <row r="935" spans="1:10" x14ac:dyDescent="0.25">
      <c r="A935" t="s">
        <v>1248</v>
      </c>
      <c r="B935" s="1">
        <v>45941</v>
      </c>
      <c r="C935" t="s">
        <v>355</v>
      </c>
      <c r="D935" t="s">
        <v>73</v>
      </c>
      <c r="E935" t="s">
        <v>74</v>
      </c>
      <c r="F935" t="s">
        <v>21</v>
      </c>
      <c r="G935">
        <v>3</v>
      </c>
      <c r="H935">
        <v>0.05</v>
      </c>
      <c r="I935">
        <v>22.8</v>
      </c>
      <c r="J935">
        <v>7.61</v>
      </c>
    </row>
    <row r="936" spans="1:10" x14ac:dyDescent="0.25">
      <c r="A936" t="s">
        <v>1249</v>
      </c>
      <c r="B936" s="1">
        <v>45941</v>
      </c>
      <c r="C936" t="s">
        <v>64</v>
      </c>
      <c r="D936" t="s">
        <v>32</v>
      </c>
      <c r="E936" t="s">
        <v>28</v>
      </c>
      <c r="F936" t="s">
        <v>38</v>
      </c>
      <c r="G936">
        <v>2</v>
      </c>
      <c r="H936">
        <v>0</v>
      </c>
      <c r="I936">
        <v>1000</v>
      </c>
      <c r="J936">
        <v>243.47</v>
      </c>
    </row>
    <row r="937" spans="1:10" x14ac:dyDescent="0.25">
      <c r="A937" t="s">
        <v>1250</v>
      </c>
      <c r="B937" s="1">
        <v>45941</v>
      </c>
      <c r="C937" t="s">
        <v>425</v>
      </c>
      <c r="D937" t="s">
        <v>91</v>
      </c>
      <c r="E937" t="s">
        <v>13</v>
      </c>
      <c r="F937" t="s">
        <v>38</v>
      </c>
      <c r="G937">
        <v>3</v>
      </c>
      <c r="H937">
        <v>0.2</v>
      </c>
      <c r="I937">
        <v>72</v>
      </c>
      <c r="J937">
        <v>10.57</v>
      </c>
    </row>
    <row r="938" spans="1:10" x14ac:dyDescent="0.25">
      <c r="A938" t="s">
        <v>1251</v>
      </c>
      <c r="B938" s="1">
        <v>45942</v>
      </c>
      <c r="C938" t="s">
        <v>549</v>
      </c>
      <c r="D938" t="s">
        <v>50</v>
      </c>
      <c r="E938" t="s">
        <v>28</v>
      </c>
      <c r="F938" t="s">
        <v>38</v>
      </c>
      <c r="G938">
        <v>5</v>
      </c>
      <c r="H938">
        <v>0.1</v>
      </c>
      <c r="I938">
        <v>1080</v>
      </c>
      <c r="J938">
        <v>157.93</v>
      </c>
    </row>
    <row r="939" spans="1:10" x14ac:dyDescent="0.25">
      <c r="A939" t="s">
        <v>1252</v>
      </c>
      <c r="B939" s="1">
        <v>45942</v>
      </c>
      <c r="C939" t="s">
        <v>360</v>
      </c>
      <c r="D939" t="s">
        <v>32</v>
      </c>
      <c r="E939" t="s">
        <v>28</v>
      </c>
      <c r="F939" t="s">
        <v>29</v>
      </c>
      <c r="G939">
        <v>5</v>
      </c>
      <c r="H939">
        <v>0</v>
      </c>
      <c r="I939">
        <v>2500</v>
      </c>
      <c r="J939">
        <v>591.27</v>
      </c>
    </row>
    <row r="940" spans="1:10" x14ac:dyDescent="0.25">
      <c r="A940" t="s">
        <v>1253</v>
      </c>
      <c r="B940" s="1">
        <v>45942</v>
      </c>
      <c r="C940" t="s">
        <v>1254</v>
      </c>
      <c r="D940" t="s">
        <v>81</v>
      </c>
      <c r="E940" t="s">
        <v>13</v>
      </c>
      <c r="F940" t="s">
        <v>14</v>
      </c>
      <c r="G940">
        <v>4</v>
      </c>
      <c r="H940">
        <v>0</v>
      </c>
      <c r="I940">
        <v>180</v>
      </c>
      <c r="J940">
        <v>38.86</v>
      </c>
    </row>
    <row r="941" spans="1:10" x14ac:dyDescent="0.25">
      <c r="A941" t="s">
        <v>1255</v>
      </c>
      <c r="B941" s="1">
        <v>45943</v>
      </c>
      <c r="C941" t="s">
        <v>1145</v>
      </c>
      <c r="D941" t="s">
        <v>27</v>
      </c>
      <c r="E941" t="s">
        <v>28</v>
      </c>
      <c r="F941" t="s">
        <v>38</v>
      </c>
      <c r="G941">
        <v>2</v>
      </c>
      <c r="H941">
        <v>0.05</v>
      </c>
      <c r="I941">
        <v>1235</v>
      </c>
      <c r="J941">
        <v>278.76</v>
      </c>
    </row>
    <row r="942" spans="1:10" x14ac:dyDescent="0.25">
      <c r="A942" t="s">
        <v>1256</v>
      </c>
      <c r="B942" s="1">
        <v>45943</v>
      </c>
      <c r="C942" t="s">
        <v>619</v>
      </c>
      <c r="D942" t="s">
        <v>27</v>
      </c>
      <c r="E942" t="s">
        <v>28</v>
      </c>
      <c r="F942" t="s">
        <v>29</v>
      </c>
      <c r="G942">
        <v>3</v>
      </c>
      <c r="H942">
        <v>0.15</v>
      </c>
      <c r="I942">
        <v>1657.5</v>
      </c>
      <c r="J942">
        <v>65.819999999999993</v>
      </c>
    </row>
    <row r="943" spans="1:10" x14ac:dyDescent="0.25">
      <c r="A943" t="s">
        <v>1257</v>
      </c>
      <c r="B943" s="1">
        <v>45943</v>
      </c>
      <c r="C943" t="s">
        <v>233</v>
      </c>
      <c r="D943" t="s">
        <v>32</v>
      </c>
      <c r="E943" t="s">
        <v>28</v>
      </c>
      <c r="F943" t="s">
        <v>14</v>
      </c>
      <c r="G943">
        <v>4</v>
      </c>
      <c r="H943">
        <v>0.05</v>
      </c>
      <c r="I943">
        <v>1900</v>
      </c>
      <c r="J943">
        <v>377.75</v>
      </c>
    </row>
    <row r="944" spans="1:10" x14ac:dyDescent="0.25">
      <c r="A944" t="s">
        <v>1258</v>
      </c>
      <c r="B944" s="1">
        <v>45943</v>
      </c>
      <c r="C944" t="s">
        <v>40</v>
      </c>
      <c r="D944" t="s">
        <v>91</v>
      </c>
      <c r="E944" t="s">
        <v>13</v>
      </c>
      <c r="F944" t="s">
        <v>21</v>
      </c>
      <c r="G944">
        <v>4</v>
      </c>
      <c r="H944">
        <v>0</v>
      </c>
      <c r="I944">
        <v>120</v>
      </c>
      <c r="J944">
        <v>35.81</v>
      </c>
    </row>
    <row r="945" spans="1:10" x14ac:dyDescent="0.25">
      <c r="A945" t="s">
        <v>1259</v>
      </c>
      <c r="B945" s="1">
        <v>45944</v>
      </c>
      <c r="C945" t="s">
        <v>135</v>
      </c>
      <c r="D945" t="s">
        <v>81</v>
      </c>
      <c r="E945" t="s">
        <v>13</v>
      </c>
      <c r="F945" t="s">
        <v>38</v>
      </c>
      <c r="G945">
        <v>3</v>
      </c>
      <c r="H945">
        <v>0.1</v>
      </c>
      <c r="I945">
        <v>121.5</v>
      </c>
      <c r="J945">
        <v>20.75</v>
      </c>
    </row>
    <row r="946" spans="1:10" x14ac:dyDescent="0.25">
      <c r="A946" t="s">
        <v>1260</v>
      </c>
      <c r="B946" s="1">
        <v>45944</v>
      </c>
      <c r="C946" t="s">
        <v>11</v>
      </c>
      <c r="D946" t="s">
        <v>32</v>
      </c>
      <c r="E946" t="s">
        <v>28</v>
      </c>
      <c r="F946" t="s">
        <v>29</v>
      </c>
      <c r="G946">
        <v>5</v>
      </c>
      <c r="H946">
        <v>0.05</v>
      </c>
      <c r="I946">
        <v>2375</v>
      </c>
      <c r="J946">
        <v>437.25</v>
      </c>
    </row>
    <row r="947" spans="1:10" x14ac:dyDescent="0.25">
      <c r="A947" t="s">
        <v>1261</v>
      </c>
      <c r="B947" s="1">
        <v>45944</v>
      </c>
      <c r="C947" t="s">
        <v>596</v>
      </c>
      <c r="D947" t="s">
        <v>19</v>
      </c>
      <c r="E947" t="s">
        <v>20</v>
      </c>
      <c r="F947" t="s">
        <v>29</v>
      </c>
      <c r="G947">
        <v>1</v>
      </c>
      <c r="H947">
        <v>0</v>
      </c>
      <c r="I947">
        <v>180</v>
      </c>
      <c r="J947">
        <v>66.38</v>
      </c>
    </row>
    <row r="948" spans="1:10" x14ac:dyDescent="0.25">
      <c r="A948" t="s">
        <v>1262</v>
      </c>
      <c r="B948" s="1">
        <v>45945</v>
      </c>
      <c r="C948" t="s">
        <v>175</v>
      </c>
      <c r="D948" t="s">
        <v>50</v>
      </c>
      <c r="E948" t="s">
        <v>28</v>
      </c>
      <c r="F948" t="s">
        <v>14</v>
      </c>
      <c r="G948">
        <v>5</v>
      </c>
      <c r="H948">
        <v>0.1</v>
      </c>
      <c r="I948">
        <v>1080</v>
      </c>
      <c r="J948">
        <v>230.24</v>
      </c>
    </row>
    <row r="949" spans="1:10" x14ac:dyDescent="0.25">
      <c r="A949" t="s">
        <v>1263</v>
      </c>
      <c r="B949" s="1">
        <v>45945</v>
      </c>
      <c r="C949" t="s">
        <v>34</v>
      </c>
      <c r="D949" t="s">
        <v>50</v>
      </c>
      <c r="E949" t="s">
        <v>28</v>
      </c>
      <c r="F949" t="s">
        <v>29</v>
      </c>
      <c r="G949">
        <v>3</v>
      </c>
      <c r="H949">
        <v>0</v>
      </c>
      <c r="I949">
        <v>720</v>
      </c>
      <c r="J949">
        <v>263.04000000000002</v>
      </c>
    </row>
    <row r="950" spans="1:10" x14ac:dyDescent="0.25">
      <c r="A950" t="s">
        <v>1264</v>
      </c>
      <c r="B950" s="1">
        <v>45945</v>
      </c>
      <c r="C950" t="s">
        <v>151</v>
      </c>
      <c r="D950" t="s">
        <v>19</v>
      </c>
      <c r="E950" t="s">
        <v>20</v>
      </c>
      <c r="F950" t="s">
        <v>21</v>
      </c>
      <c r="G950">
        <v>5</v>
      </c>
      <c r="H950">
        <v>0.05</v>
      </c>
      <c r="I950">
        <v>855</v>
      </c>
      <c r="J950">
        <v>149.83000000000001</v>
      </c>
    </row>
    <row r="951" spans="1:10" x14ac:dyDescent="0.25">
      <c r="A951" t="s">
        <v>1265</v>
      </c>
      <c r="B951" s="1">
        <v>45946</v>
      </c>
      <c r="C951" t="s">
        <v>308</v>
      </c>
      <c r="D951" t="s">
        <v>73</v>
      </c>
      <c r="E951" t="s">
        <v>74</v>
      </c>
      <c r="F951" t="s">
        <v>29</v>
      </c>
      <c r="G951">
        <v>1</v>
      </c>
      <c r="H951">
        <v>0</v>
      </c>
      <c r="I951">
        <v>8</v>
      </c>
      <c r="J951">
        <v>2.6</v>
      </c>
    </row>
    <row r="952" spans="1:10" x14ac:dyDescent="0.25">
      <c r="A952" t="s">
        <v>1266</v>
      </c>
      <c r="B952" s="1">
        <v>45946</v>
      </c>
      <c r="C952" t="s">
        <v>243</v>
      </c>
      <c r="D952" t="s">
        <v>24</v>
      </c>
      <c r="E952" t="s">
        <v>20</v>
      </c>
      <c r="F952" t="s">
        <v>29</v>
      </c>
      <c r="G952">
        <v>2</v>
      </c>
      <c r="H952">
        <v>0.1</v>
      </c>
      <c r="I952">
        <v>396</v>
      </c>
      <c r="J952">
        <v>95.78</v>
      </c>
    </row>
    <row r="953" spans="1:10" x14ac:dyDescent="0.25">
      <c r="A953" t="s">
        <v>1267</v>
      </c>
      <c r="B953" s="1">
        <v>45946</v>
      </c>
      <c r="C953" t="s">
        <v>881</v>
      </c>
      <c r="D953" t="s">
        <v>32</v>
      </c>
      <c r="E953" t="s">
        <v>28</v>
      </c>
      <c r="F953" t="s">
        <v>21</v>
      </c>
      <c r="G953">
        <v>1</v>
      </c>
      <c r="H953">
        <v>0.1</v>
      </c>
      <c r="I953">
        <v>450</v>
      </c>
      <c r="J953">
        <v>92.13</v>
      </c>
    </row>
    <row r="954" spans="1:10" x14ac:dyDescent="0.25">
      <c r="A954" t="s">
        <v>1268</v>
      </c>
      <c r="B954" s="1">
        <v>45947</v>
      </c>
      <c r="C954" t="s">
        <v>434</v>
      </c>
      <c r="D954" t="s">
        <v>50</v>
      </c>
      <c r="E954" t="s">
        <v>28</v>
      </c>
      <c r="F954" t="s">
        <v>21</v>
      </c>
      <c r="G954">
        <v>3</v>
      </c>
      <c r="H954">
        <v>0.2</v>
      </c>
      <c r="I954">
        <v>576</v>
      </c>
      <c r="J954">
        <v>8.08</v>
      </c>
    </row>
    <row r="955" spans="1:10" x14ac:dyDescent="0.25">
      <c r="A955" t="s">
        <v>1269</v>
      </c>
      <c r="B955" s="1">
        <v>45947</v>
      </c>
      <c r="C955" t="s">
        <v>950</v>
      </c>
      <c r="D955" t="s">
        <v>12</v>
      </c>
      <c r="E955" t="s">
        <v>13</v>
      </c>
      <c r="F955" t="s">
        <v>38</v>
      </c>
      <c r="G955">
        <v>5</v>
      </c>
      <c r="H955">
        <v>0</v>
      </c>
      <c r="I955">
        <v>275</v>
      </c>
      <c r="J955">
        <v>100.78</v>
      </c>
    </row>
    <row r="956" spans="1:10" x14ac:dyDescent="0.25">
      <c r="A956" t="s">
        <v>1270</v>
      </c>
      <c r="B956" s="1">
        <v>45947</v>
      </c>
      <c r="C956" t="s">
        <v>667</v>
      </c>
      <c r="D956" t="s">
        <v>27</v>
      </c>
      <c r="E956" t="s">
        <v>28</v>
      </c>
      <c r="F956" t="s">
        <v>21</v>
      </c>
      <c r="G956">
        <v>1</v>
      </c>
      <c r="H956">
        <v>0.1</v>
      </c>
      <c r="I956">
        <v>585</v>
      </c>
      <c r="J956">
        <v>142</v>
      </c>
    </row>
    <row r="957" spans="1:10" x14ac:dyDescent="0.25">
      <c r="A957" t="s">
        <v>1271</v>
      </c>
      <c r="B957" s="1">
        <v>45947</v>
      </c>
      <c r="C957" t="s">
        <v>26</v>
      </c>
      <c r="D957" t="s">
        <v>27</v>
      </c>
      <c r="E957" t="s">
        <v>28</v>
      </c>
      <c r="F957" t="s">
        <v>21</v>
      </c>
      <c r="G957">
        <v>4</v>
      </c>
      <c r="H957">
        <v>0</v>
      </c>
      <c r="I957">
        <v>2600</v>
      </c>
      <c r="J957">
        <v>598.32000000000005</v>
      </c>
    </row>
    <row r="958" spans="1:10" x14ac:dyDescent="0.25">
      <c r="A958" t="s">
        <v>1272</v>
      </c>
      <c r="B958" s="1">
        <v>45948</v>
      </c>
      <c r="C958" t="s">
        <v>66</v>
      </c>
      <c r="D958" t="s">
        <v>37</v>
      </c>
      <c r="E958" t="s">
        <v>28</v>
      </c>
      <c r="F958" t="s">
        <v>29</v>
      </c>
      <c r="G958">
        <v>2</v>
      </c>
      <c r="H958">
        <v>0</v>
      </c>
      <c r="I958">
        <v>160</v>
      </c>
      <c r="J958">
        <v>59.55</v>
      </c>
    </row>
    <row r="959" spans="1:10" x14ac:dyDescent="0.25">
      <c r="A959" t="s">
        <v>1273</v>
      </c>
      <c r="B959" s="1">
        <v>45948</v>
      </c>
      <c r="C959" t="s">
        <v>11</v>
      </c>
      <c r="D959" t="s">
        <v>37</v>
      </c>
      <c r="E959" t="s">
        <v>28</v>
      </c>
      <c r="F959" t="s">
        <v>21</v>
      </c>
      <c r="G959">
        <v>5</v>
      </c>
      <c r="H959">
        <v>0.1</v>
      </c>
      <c r="I959">
        <v>360</v>
      </c>
      <c r="J959">
        <v>57.08</v>
      </c>
    </row>
    <row r="960" spans="1:10" x14ac:dyDescent="0.25">
      <c r="A960" t="s">
        <v>1274</v>
      </c>
      <c r="B960" s="1">
        <v>45948</v>
      </c>
      <c r="C960" t="s">
        <v>383</v>
      </c>
      <c r="D960" t="s">
        <v>27</v>
      </c>
      <c r="E960" t="s">
        <v>28</v>
      </c>
      <c r="F960" t="s">
        <v>21</v>
      </c>
      <c r="G960">
        <v>2</v>
      </c>
      <c r="H960">
        <v>0.15</v>
      </c>
      <c r="I960">
        <v>1105</v>
      </c>
      <c r="J960">
        <v>296.42</v>
      </c>
    </row>
    <row r="961" spans="1:10" x14ac:dyDescent="0.25">
      <c r="A961" t="s">
        <v>1275</v>
      </c>
      <c r="B961" s="1">
        <v>45949</v>
      </c>
      <c r="C961" t="s">
        <v>145</v>
      </c>
      <c r="D961" t="s">
        <v>73</v>
      </c>
      <c r="E961" t="s">
        <v>74</v>
      </c>
      <c r="F961" t="s">
        <v>38</v>
      </c>
      <c r="G961">
        <v>4</v>
      </c>
      <c r="H961">
        <v>0.2</v>
      </c>
      <c r="I961">
        <v>25.6</v>
      </c>
      <c r="J961">
        <v>2.67</v>
      </c>
    </row>
    <row r="962" spans="1:10" x14ac:dyDescent="0.25">
      <c r="A962" t="s">
        <v>1276</v>
      </c>
      <c r="B962" s="1">
        <v>45949</v>
      </c>
      <c r="C962" t="s">
        <v>80</v>
      </c>
      <c r="D962" t="s">
        <v>91</v>
      </c>
      <c r="E962" t="s">
        <v>13</v>
      </c>
      <c r="F962" t="s">
        <v>21</v>
      </c>
      <c r="G962">
        <v>2</v>
      </c>
      <c r="H962">
        <v>0.1</v>
      </c>
      <c r="I962">
        <v>54</v>
      </c>
      <c r="J962">
        <v>4.8899999999999997</v>
      </c>
    </row>
    <row r="963" spans="1:10" x14ac:dyDescent="0.25">
      <c r="A963" t="s">
        <v>1277</v>
      </c>
      <c r="B963" s="1">
        <v>45949</v>
      </c>
      <c r="C963" t="s">
        <v>1254</v>
      </c>
      <c r="D963" t="s">
        <v>24</v>
      </c>
      <c r="E963" t="s">
        <v>20</v>
      </c>
      <c r="F963" t="s">
        <v>38</v>
      </c>
      <c r="G963">
        <v>2</v>
      </c>
      <c r="H963">
        <v>0.05</v>
      </c>
      <c r="I963">
        <v>418</v>
      </c>
      <c r="J963">
        <v>144.59</v>
      </c>
    </row>
    <row r="964" spans="1:10" x14ac:dyDescent="0.25">
      <c r="A964" t="s">
        <v>1278</v>
      </c>
      <c r="B964" s="1">
        <v>45950</v>
      </c>
      <c r="C964" t="s">
        <v>398</v>
      </c>
      <c r="D964" t="s">
        <v>91</v>
      </c>
      <c r="E964" t="s">
        <v>13</v>
      </c>
      <c r="F964" t="s">
        <v>21</v>
      </c>
      <c r="G964">
        <v>3</v>
      </c>
      <c r="H964">
        <v>0</v>
      </c>
      <c r="I964">
        <v>90</v>
      </c>
      <c r="J964">
        <v>17.93</v>
      </c>
    </row>
    <row r="965" spans="1:10" x14ac:dyDescent="0.25">
      <c r="A965" t="s">
        <v>1279</v>
      </c>
      <c r="B965" s="1">
        <v>45950</v>
      </c>
      <c r="C965" t="s">
        <v>806</v>
      </c>
      <c r="D965" t="s">
        <v>27</v>
      </c>
      <c r="E965" t="s">
        <v>28</v>
      </c>
      <c r="F965" t="s">
        <v>21</v>
      </c>
      <c r="G965">
        <v>1</v>
      </c>
      <c r="H965">
        <v>0</v>
      </c>
      <c r="I965">
        <v>650</v>
      </c>
      <c r="J965">
        <v>238.14</v>
      </c>
    </row>
    <row r="966" spans="1:10" x14ac:dyDescent="0.25">
      <c r="A966" t="s">
        <v>1280</v>
      </c>
      <c r="B966" s="1">
        <v>45950</v>
      </c>
      <c r="C966" t="s">
        <v>117</v>
      </c>
      <c r="D966" t="s">
        <v>50</v>
      </c>
      <c r="E966" t="s">
        <v>28</v>
      </c>
      <c r="F966" t="s">
        <v>38</v>
      </c>
      <c r="G966">
        <v>4</v>
      </c>
      <c r="H966">
        <v>0.05</v>
      </c>
      <c r="I966">
        <v>912</v>
      </c>
      <c r="J966">
        <v>244.44</v>
      </c>
    </row>
    <row r="967" spans="1:10" x14ac:dyDescent="0.25">
      <c r="A967" t="s">
        <v>1281</v>
      </c>
      <c r="B967" s="1">
        <v>45950</v>
      </c>
      <c r="C967" t="s">
        <v>1282</v>
      </c>
      <c r="D967" t="s">
        <v>19</v>
      </c>
      <c r="E967" t="s">
        <v>20</v>
      </c>
      <c r="F967" t="s">
        <v>21</v>
      </c>
      <c r="G967">
        <v>5</v>
      </c>
      <c r="H967">
        <v>0.1</v>
      </c>
      <c r="I967">
        <v>810</v>
      </c>
      <c r="J967">
        <v>155.33000000000001</v>
      </c>
    </row>
    <row r="968" spans="1:10" x14ac:dyDescent="0.25">
      <c r="A968" t="s">
        <v>1283</v>
      </c>
      <c r="B968" s="1">
        <v>45951</v>
      </c>
      <c r="C968" t="s">
        <v>237</v>
      </c>
      <c r="D968" t="s">
        <v>37</v>
      </c>
      <c r="E968" t="s">
        <v>28</v>
      </c>
      <c r="F968" t="s">
        <v>21</v>
      </c>
      <c r="G968">
        <v>2</v>
      </c>
      <c r="H968">
        <v>0.05</v>
      </c>
      <c r="I968">
        <v>152</v>
      </c>
      <c r="J968">
        <v>42.55</v>
      </c>
    </row>
    <row r="969" spans="1:10" x14ac:dyDescent="0.25">
      <c r="A969" t="s">
        <v>1284</v>
      </c>
      <c r="B969" s="1">
        <v>45951</v>
      </c>
      <c r="C969" t="s">
        <v>913</v>
      </c>
      <c r="D969" t="s">
        <v>91</v>
      </c>
      <c r="E969" t="s">
        <v>13</v>
      </c>
      <c r="F969" t="s">
        <v>21</v>
      </c>
      <c r="G969">
        <v>3</v>
      </c>
      <c r="H969">
        <v>0.1</v>
      </c>
      <c r="I969">
        <v>81</v>
      </c>
      <c r="J969">
        <v>22.97</v>
      </c>
    </row>
    <row r="970" spans="1:10" x14ac:dyDescent="0.25">
      <c r="A970" t="s">
        <v>1285</v>
      </c>
      <c r="B970" s="1">
        <v>45951</v>
      </c>
      <c r="C970" t="s">
        <v>165</v>
      </c>
      <c r="D970" t="s">
        <v>27</v>
      </c>
      <c r="E970" t="s">
        <v>28</v>
      </c>
      <c r="F970" t="s">
        <v>14</v>
      </c>
      <c r="G970">
        <v>4</v>
      </c>
      <c r="H970">
        <v>0.15</v>
      </c>
      <c r="I970">
        <v>2210</v>
      </c>
      <c r="J970">
        <v>536.29999999999995</v>
      </c>
    </row>
    <row r="971" spans="1:10" x14ac:dyDescent="0.25">
      <c r="A971" t="s">
        <v>1286</v>
      </c>
      <c r="B971" s="1">
        <v>45952</v>
      </c>
      <c r="C971" t="s">
        <v>42</v>
      </c>
      <c r="D971" t="s">
        <v>24</v>
      </c>
      <c r="E971" t="s">
        <v>20</v>
      </c>
      <c r="F971" t="s">
        <v>29</v>
      </c>
      <c r="G971">
        <v>5</v>
      </c>
      <c r="H971">
        <v>0</v>
      </c>
      <c r="I971">
        <v>1100</v>
      </c>
      <c r="J971">
        <v>321.18</v>
      </c>
    </row>
    <row r="972" spans="1:10" x14ac:dyDescent="0.25">
      <c r="A972" t="s">
        <v>1287</v>
      </c>
      <c r="B972" s="1">
        <v>45952</v>
      </c>
      <c r="C972" t="s">
        <v>314</v>
      </c>
      <c r="D972" t="s">
        <v>73</v>
      </c>
      <c r="E972" t="s">
        <v>74</v>
      </c>
      <c r="F972" t="s">
        <v>14</v>
      </c>
      <c r="G972">
        <v>4</v>
      </c>
      <c r="H972">
        <v>0.15</v>
      </c>
      <c r="I972">
        <v>27.2</v>
      </c>
      <c r="J972">
        <v>1.38</v>
      </c>
    </row>
    <row r="973" spans="1:10" x14ac:dyDescent="0.25">
      <c r="A973" t="s">
        <v>1288</v>
      </c>
      <c r="B973" s="1">
        <v>45952</v>
      </c>
      <c r="C973" t="s">
        <v>528</v>
      </c>
      <c r="D973" t="s">
        <v>50</v>
      </c>
      <c r="E973" t="s">
        <v>28</v>
      </c>
      <c r="F973" t="s">
        <v>38</v>
      </c>
      <c r="G973">
        <v>3</v>
      </c>
      <c r="H973">
        <v>0.15</v>
      </c>
      <c r="I973">
        <v>612</v>
      </c>
      <c r="J973">
        <v>136.91</v>
      </c>
    </row>
    <row r="974" spans="1:10" x14ac:dyDescent="0.25">
      <c r="A974" t="s">
        <v>1289</v>
      </c>
      <c r="B974" s="1">
        <v>45953</v>
      </c>
      <c r="C974" t="s">
        <v>177</v>
      </c>
      <c r="D974" t="s">
        <v>37</v>
      </c>
      <c r="E974" t="s">
        <v>28</v>
      </c>
      <c r="F974" t="s">
        <v>38</v>
      </c>
      <c r="G974">
        <v>5</v>
      </c>
      <c r="H974">
        <v>0.05</v>
      </c>
      <c r="I974">
        <v>380</v>
      </c>
      <c r="J974">
        <v>88.44</v>
      </c>
    </row>
    <row r="975" spans="1:10" x14ac:dyDescent="0.25">
      <c r="A975" t="s">
        <v>1290</v>
      </c>
      <c r="B975" s="1">
        <v>45953</v>
      </c>
      <c r="C975" t="s">
        <v>772</v>
      </c>
      <c r="D975" t="s">
        <v>37</v>
      </c>
      <c r="E975" t="s">
        <v>28</v>
      </c>
      <c r="F975" t="s">
        <v>21</v>
      </c>
      <c r="G975">
        <v>2</v>
      </c>
      <c r="H975">
        <v>0</v>
      </c>
      <c r="I975">
        <v>160</v>
      </c>
      <c r="J975">
        <v>46.49</v>
      </c>
    </row>
    <row r="976" spans="1:10" x14ac:dyDescent="0.25">
      <c r="A976" t="s">
        <v>1291</v>
      </c>
      <c r="B976" s="1">
        <v>45953</v>
      </c>
      <c r="C976" t="s">
        <v>128</v>
      </c>
      <c r="D976" t="s">
        <v>81</v>
      </c>
      <c r="E976" t="s">
        <v>13</v>
      </c>
      <c r="F976" t="s">
        <v>21</v>
      </c>
      <c r="G976">
        <v>1</v>
      </c>
      <c r="H976">
        <v>0.1</v>
      </c>
      <c r="I976">
        <v>40.5</v>
      </c>
      <c r="J976">
        <v>11.2</v>
      </c>
    </row>
    <row r="977" spans="1:10" x14ac:dyDescent="0.25">
      <c r="A977" t="s">
        <v>1292</v>
      </c>
      <c r="B977" s="1">
        <v>45953</v>
      </c>
      <c r="C977" t="s">
        <v>748</v>
      </c>
      <c r="D977" t="s">
        <v>32</v>
      </c>
      <c r="E977" t="s">
        <v>28</v>
      </c>
      <c r="F977" t="s">
        <v>21</v>
      </c>
      <c r="G977">
        <v>2</v>
      </c>
      <c r="H977">
        <v>0</v>
      </c>
      <c r="I977">
        <v>1000</v>
      </c>
      <c r="J977">
        <v>342.81</v>
      </c>
    </row>
    <row r="978" spans="1:10" x14ac:dyDescent="0.25">
      <c r="A978" t="s">
        <v>1293</v>
      </c>
      <c r="B978" s="1">
        <v>45954</v>
      </c>
      <c r="C978" t="s">
        <v>554</v>
      </c>
      <c r="D978" t="s">
        <v>12</v>
      </c>
      <c r="E978" t="s">
        <v>13</v>
      </c>
      <c r="F978" t="s">
        <v>14</v>
      </c>
      <c r="G978">
        <v>4</v>
      </c>
      <c r="H978">
        <v>0.2</v>
      </c>
      <c r="I978">
        <v>176</v>
      </c>
      <c r="J978">
        <v>7.27</v>
      </c>
    </row>
    <row r="979" spans="1:10" x14ac:dyDescent="0.25">
      <c r="A979" t="s">
        <v>1294</v>
      </c>
      <c r="B979" s="1">
        <v>45954</v>
      </c>
      <c r="C979" t="s">
        <v>319</v>
      </c>
      <c r="D979" t="s">
        <v>12</v>
      </c>
      <c r="E979" t="s">
        <v>13</v>
      </c>
      <c r="F979" t="s">
        <v>21</v>
      </c>
      <c r="G979">
        <v>3</v>
      </c>
      <c r="H979">
        <v>0.2</v>
      </c>
      <c r="I979">
        <v>132</v>
      </c>
      <c r="J979">
        <v>25.04</v>
      </c>
    </row>
    <row r="980" spans="1:10" x14ac:dyDescent="0.25">
      <c r="A980" t="s">
        <v>1295</v>
      </c>
      <c r="B980" s="1">
        <v>45954</v>
      </c>
      <c r="C980" t="s">
        <v>357</v>
      </c>
      <c r="D980" t="s">
        <v>27</v>
      </c>
      <c r="E980" t="s">
        <v>28</v>
      </c>
      <c r="F980" t="s">
        <v>14</v>
      </c>
      <c r="G980">
        <v>5</v>
      </c>
      <c r="H980">
        <v>0.05</v>
      </c>
      <c r="I980">
        <v>3087.5</v>
      </c>
      <c r="J980">
        <v>664.52</v>
      </c>
    </row>
    <row r="981" spans="1:10" x14ac:dyDescent="0.25">
      <c r="A981" t="s">
        <v>1296</v>
      </c>
      <c r="B981" s="1">
        <v>45955</v>
      </c>
      <c r="C981" t="s">
        <v>612</v>
      </c>
      <c r="D981" t="s">
        <v>50</v>
      </c>
      <c r="E981" t="s">
        <v>28</v>
      </c>
      <c r="F981" t="s">
        <v>38</v>
      </c>
      <c r="G981">
        <v>1</v>
      </c>
      <c r="H981">
        <v>0.2</v>
      </c>
      <c r="I981">
        <v>192</v>
      </c>
      <c r="J981">
        <v>0.6</v>
      </c>
    </row>
    <row r="982" spans="1:10" x14ac:dyDescent="0.25">
      <c r="A982" t="s">
        <v>1297</v>
      </c>
      <c r="B982" s="1">
        <v>45955</v>
      </c>
      <c r="C982" t="s">
        <v>653</v>
      </c>
      <c r="D982" t="s">
        <v>37</v>
      </c>
      <c r="E982" t="s">
        <v>28</v>
      </c>
      <c r="F982" t="s">
        <v>29</v>
      </c>
      <c r="G982">
        <v>3</v>
      </c>
      <c r="H982">
        <v>0</v>
      </c>
      <c r="I982">
        <v>240</v>
      </c>
      <c r="J982">
        <v>75.13</v>
      </c>
    </row>
    <row r="983" spans="1:10" x14ac:dyDescent="0.25">
      <c r="A983" t="s">
        <v>1298</v>
      </c>
      <c r="B983" s="1">
        <v>45955</v>
      </c>
      <c r="C983" t="s">
        <v>655</v>
      </c>
      <c r="D983" t="s">
        <v>81</v>
      </c>
      <c r="E983" t="s">
        <v>13</v>
      </c>
      <c r="F983" t="s">
        <v>14</v>
      </c>
      <c r="G983">
        <v>2</v>
      </c>
      <c r="H983">
        <v>0</v>
      </c>
      <c r="I983">
        <v>90</v>
      </c>
      <c r="J983">
        <v>23.46</v>
      </c>
    </row>
    <row r="984" spans="1:10" x14ac:dyDescent="0.25">
      <c r="A984" t="s">
        <v>1299</v>
      </c>
      <c r="B984" s="1">
        <v>45956</v>
      </c>
      <c r="C984" t="s">
        <v>68</v>
      </c>
      <c r="D984" t="s">
        <v>27</v>
      </c>
      <c r="E984" t="s">
        <v>28</v>
      </c>
      <c r="F984" t="s">
        <v>38</v>
      </c>
      <c r="G984">
        <v>1</v>
      </c>
      <c r="H984">
        <v>0</v>
      </c>
      <c r="I984">
        <v>650</v>
      </c>
      <c r="J984">
        <v>216.13</v>
      </c>
    </row>
    <row r="985" spans="1:10" x14ac:dyDescent="0.25">
      <c r="A985" t="s">
        <v>1300</v>
      </c>
      <c r="B985" s="1">
        <v>45956</v>
      </c>
      <c r="C985" t="s">
        <v>594</v>
      </c>
      <c r="D985" t="s">
        <v>91</v>
      </c>
      <c r="E985" t="s">
        <v>13</v>
      </c>
      <c r="F985" t="s">
        <v>14</v>
      </c>
      <c r="G985">
        <v>1</v>
      </c>
      <c r="H985">
        <v>0.1</v>
      </c>
      <c r="I985">
        <v>27</v>
      </c>
      <c r="J985">
        <v>3.84</v>
      </c>
    </row>
    <row r="986" spans="1:10" x14ac:dyDescent="0.25">
      <c r="A986" t="s">
        <v>1301</v>
      </c>
      <c r="B986" s="1">
        <v>45956</v>
      </c>
      <c r="C986" t="s">
        <v>515</v>
      </c>
      <c r="D986" t="s">
        <v>37</v>
      </c>
      <c r="E986" t="s">
        <v>28</v>
      </c>
      <c r="F986" t="s">
        <v>14</v>
      </c>
      <c r="G986">
        <v>2</v>
      </c>
      <c r="H986">
        <v>0</v>
      </c>
      <c r="I986">
        <v>160</v>
      </c>
      <c r="J986">
        <v>57.28</v>
      </c>
    </row>
    <row r="987" spans="1:10" x14ac:dyDescent="0.25">
      <c r="A987" t="s">
        <v>1302</v>
      </c>
      <c r="B987" s="1">
        <v>45957</v>
      </c>
      <c r="C987" t="s">
        <v>277</v>
      </c>
      <c r="D987" t="s">
        <v>50</v>
      </c>
      <c r="E987" t="s">
        <v>28</v>
      </c>
      <c r="F987" t="s">
        <v>21</v>
      </c>
      <c r="G987">
        <v>4</v>
      </c>
      <c r="H987">
        <v>0</v>
      </c>
      <c r="I987">
        <v>960</v>
      </c>
      <c r="J987">
        <v>232.31</v>
      </c>
    </row>
    <row r="988" spans="1:10" x14ac:dyDescent="0.25">
      <c r="A988" t="s">
        <v>1303</v>
      </c>
      <c r="B988" s="1">
        <v>45957</v>
      </c>
      <c r="C988" t="s">
        <v>865</v>
      </c>
      <c r="D988" t="s">
        <v>50</v>
      </c>
      <c r="E988" t="s">
        <v>28</v>
      </c>
      <c r="F988" t="s">
        <v>14</v>
      </c>
      <c r="G988">
        <v>5</v>
      </c>
      <c r="H988">
        <v>0.05</v>
      </c>
      <c r="I988">
        <v>1140</v>
      </c>
      <c r="J988">
        <v>375.1</v>
      </c>
    </row>
    <row r="989" spans="1:10" x14ac:dyDescent="0.25">
      <c r="A989" t="s">
        <v>1304</v>
      </c>
      <c r="B989" s="1">
        <v>45957</v>
      </c>
      <c r="C989" t="s">
        <v>308</v>
      </c>
      <c r="D989" t="s">
        <v>91</v>
      </c>
      <c r="E989" t="s">
        <v>13</v>
      </c>
      <c r="F989" t="s">
        <v>29</v>
      </c>
      <c r="G989">
        <v>1</v>
      </c>
      <c r="H989">
        <v>0</v>
      </c>
      <c r="I989">
        <v>30</v>
      </c>
      <c r="J989">
        <v>5.94</v>
      </c>
    </row>
    <row r="990" spans="1:10" x14ac:dyDescent="0.25">
      <c r="A990" t="s">
        <v>1305</v>
      </c>
      <c r="B990" s="1">
        <v>45957</v>
      </c>
      <c r="C990" t="s">
        <v>263</v>
      </c>
      <c r="D990" t="s">
        <v>50</v>
      </c>
      <c r="E990" t="s">
        <v>28</v>
      </c>
      <c r="F990" t="s">
        <v>14</v>
      </c>
      <c r="G990">
        <v>4</v>
      </c>
      <c r="H990">
        <v>0</v>
      </c>
      <c r="I990">
        <v>960</v>
      </c>
      <c r="J990">
        <v>305.73</v>
      </c>
    </row>
    <row r="991" spans="1:10" x14ac:dyDescent="0.25">
      <c r="A991" t="s">
        <v>1306</v>
      </c>
      <c r="B991" s="1">
        <v>45958</v>
      </c>
      <c r="C991" t="s">
        <v>638</v>
      </c>
      <c r="D991" t="s">
        <v>37</v>
      </c>
      <c r="E991" t="s">
        <v>28</v>
      </c>
      <c r="F991" t="s">
        <v>14</v>
      </c>
      <c r="G991">
        <v>2</v>
      </c>
      <c r="H991">
        <v>0.1</v>
      </c>
      <c r="I991">
        <v>144</v>
      </c>
      <c r="J991">
        <v>27.31</v>
      </c>
    </row>
    <row r="992" spans="1:10" x14ac:dyDescent="0.25">
      <c r="A992" t="s">
        <v>1307</v>
      </c>
      <c r="B992" s="1">
        <v>45958</v>
      </c>
      <c r="C992" t="s">
        <v>1308</v>
      </c>
      <c r="D992" t="s">
        <v>91</v>
      </c>
      <c r="E992" t="s">
        <v>13</v>
      </c>
      <c r="F992" t="s">
        <v>14</v>
      </c>
      <c r="G992">
        <v>2</v>
      </c>
      <c r="H992">
        <v>0.1</v>
      </c>
      <c r="I992">
        <v>54</v>
      </c>
      <c r="J992">
        <v>14.45</v>
      </c>
    </row>
    <row r="993" spans="1:10" x14ac:dyDescent="0.25">
      <c r="A993" t="s">
        <v>1309</v>
      </c>
      <c r="B993" s="1">
        <v>45958</v>
      </c>
      <c r="C993" t="s">
        <v>187</v>
      </c>
      <c r="D993" t="s">
        <v>37</v>
      </c>
      <c r="E993" t="s">
        <v>28</v>
      </c>
      <c r="F993" t="s">
        <v>29</v>
      </c>
      <c r="G993">
        <v>1</v>
      </c>
      <c r="H993">
        <v>0.05</v>
      </c>
      <c r="I993">
        <v>76</v>
      </c>
      <c r="J993">
        <v>14.24</v>
      </c>
    </row>
    <row r="994" spans="1:10" x14ac:dyDescent="0.25">
      <c r="A994" t="s">
        <v>1310</v>
      </c>
      <c r="B994" s="1">
        <v>45959</v>
      </c>
      <c r="C994" t="s">
        <v>254</v>
      </c>
      <c r="D994" t="s">
        <v>37</v>
      </c>
      <c r="E994" t="s">
        <v>28</v>
      </c>
      <c r="F994" t="s">
        <v>29</v>
      </c>
      <c r="G994">
        <v>3</v>
      </c>
      <c r="H994">
        <v>0.1</v>
      </c>
      <c r="I994">
        <v>216</v>
      </c>
      <c r="J994">
        <v>38.520000000000003</v>
      </c>
    </row>
    <row r="995" spans="1:10" x14ac:dyDescent="0.25">
      <c r="A995" t="s">
        <v>1311</v>
      </c>
      <c r="B995" s="1">
        <v>45959</v>
      </c>
      <c r="C995" t="s">
        <v>162</v>
      </c>
      <c r="D995" t="s">
        <v>50</v>
      </c>
      <c r="E995" t="s">
        <v>28</v>
      </c>
      <c r="F995" t="s">
        <v>38</v>
      </c>
      <c r="G995">
        <v>5</v>
      </c>
      <c r="H995">
        <v>0.05</v>
      </c>
      <c r="I995">
        <v>1140</v>
      </c>
      <c r="J995">
        <v>284.39</v>
      </c>
    </row>
    <row r="996" spans="1:10" x14ac:dyDescent="0.25">
      <c r="A996" t="s">
        <v>1312</v>
      </c>
      <c r="B996" s="1">
        <v>45959</v>
      </c>
      <c r="C996" t="s">
        <v>837</v>
      </c>
      <c r="D996" t="s">
        <v>73</v>
      </c>
      <c r="E996" t="s">
        <v>74</v>
      </c>
      <c r="F996" t="s">
        <v>29</v>
      </c>
      <c r="G996">
        <v>4</v>
      </c>
      <c r="H996">
        <v>0.05</v>
      </c>
      <c r="I996">
        <v>30.4</v>
      </c>
      <c r="J996">
        <v>6.13</v>
      </c>
    </row>
    <row r="997" spans="1:10" x14ac:dyDescent="0.25">
      <c r="A997" t="s">
        <v>1313</v>
      </c>
      <c r="B997" s="1">
        <v>45960</v>
      </c>
      <c r="C997" t="s">
        <v>1254</v>
      </c>
      <c r="D997" t="s">
        <v>27</v>
      </c>
      <c r="E997" t="s">
        <v>28</v>
      </c>
      <c r="F997" t="s">
        <v>38</v>
      </c>
      <c r="G997">
        <v>2</v>
      </c>
      <c r="H997">
        <v>0.15</v>
      </c>
      <c r="I997">
        <v>1105</v>
      </c>
      <c r="J997">
        <v>249.51</v>
      </c>
    </row>
    <row r="998" spans="1:10" x14ac:dyDescent="0.25">
      <c r="A998" t="s">
        <v>1314</v>
      </c>
      <c r="B998" s="1">
        <v>45960</v>
      </c>
      <c r="C998" t="s">
        <v>31</v>
      </c>
      <c r="D998" t="s">
        <v>27</v>
      </c>
      <c r="E998" t="s">
        <v>28</v>
      </c>
      <c r="F998" t="s">
        <v>38</v>
      </c>
      <c r="G998">
        <v>4</v>
      </c>
      <c r="H998">
        <v>0.15</v>
      </c>
      <c r="I998">
        <v>2210</v>
      </c>
      <c r="J998">
        <v>175.86</v>
      </c>
    </row>
    <row r="999" spans="1:10" x14ac:dyDescent="0.25">
      <c r="A999" t="s">
        <v>1315</v>
      </c>
      <c r="B999" s="1">
        <v>45960</v>
      </c>
      <c r="C999" t="s">
        <v>279</v>
      </c>
      <c r="D999" t="s">
        <v>27</v>
      </c>
      <c r="E999" t="s">
        <v>28</v>
      </c>
      <c r="F999" t="s">
        <v>38</v>
      </c>
      <c r="G999">
        <v>2</v>
      </c>
      <c r="H999">
        <v>0.05</v>
      </c>
      <c r="I999">
        <v>1235</v>
      </c>
      <c r="J999">
        <v>222.58</v>
      </c>
    </row>
    <row r="1000" spans="1:10" x14ac:dyDescent="0.25">
      <c r="A1000" t="s">
        <v>1316</v>
      </c>
      <c r="B1000" s="1">
        <v>45960</v>
      </c>
      <c r="C1000" t="s">
        <v>571</v>
      </c>
      <c r="D1000" t="s">
        <v>19</v>
      </c>
      <c r="E1000" t="s">
        <v>20</v>
      </c>
      <c r="F1000" t="s">
        <v>21</v>
      </c>
      <c r="G1000">
        <v>5</v>
      </c>
      <c r="H1000">
        <v>0.1</v>
      </c>
      <c r="I1000">
        <v>810</v>
      </c>
      <c r="J1000">
        <v>171.73</v>
      </c>
    </row>
    <row r="1001" spans="1:10" x14ac:dyDescent="0.25">
      <c r="A1001" t="s">
        <v>1317</v>
      </c>
      <c r="B1001" s="1">
        <v>45961</v>
      </c>
      <c r="C1001" t="s">
        <v>275</v>
      </c>
      <c r="D1001" t="s">
        <v>81</v>
      </c>
      <c r="E1001" t="s">
        <v>13</v>
      </c>
      <c r="F1001" t="s">
        <v>29</v>
      </c>
      <c r="G1001">
        <v>2</v>
      </c>
      <c r="H1001">
        <v>0.1</v>
      </c>
      <c r="I1001">
        <v>81</v>
      </c>
      <c r="J1001">
        <v>16.84</v>
      </c>
    </row>
    <row r="1002" spans="1:10" x14ac:dyDescent="0.25">
      <c r="A1002" t="s">
        <v>1318</v>
      </c>
      <c r="B1002" s="1">
        <v>45961</v>
      </c>
      <c r="C1002" t="s">
        <v>515</v>
      </c>
      <c r="D1002" t="s">
        <v>19</v>
      </c>
      <c r="E1002" t="s">
        <v>20</v>
      </c>
      <c r="F1002" t="s">
        <v>14</v>
      </c>
      <c r="G1002">
        <v>1</v>
      </c>
      <c r="H1002">
        <v>0</v>
      </c>
      <c r="I1002">
        <v>180</v>
      </c>
      <c r="J1002">
        <v>64.34</v>
      </c>
    </row>
    <row r="1003" spans="1:10" x14ac:dyDescent="0.25">
      <c r="A1003" t="s">
        <v>1319</v>
      </c>
      <c r="B1003" s="1">
        <v>45961</v>
      </c>
      <c r="C1003" t="s">
        <v>414</v>
      </c>
      <c r="D1003" t="s">
        <v>73</v>
      </c>
      <c r="E1003" t="s">
        <v>74</v>
      </c>
      <c r="F1003" t="s">
        <v>14</v>
      </c>
      <c r="G1003">
        <v>1</v>
      </c>
      <c r="H1003">
        <v>0.05</v>
      </c>
      <c r="I1003">
        <v>7.6</v>
      </c>
      <c r="J1003">
        <v>2.29</v>
      </c>
    </row>
    <row r="1004" spans="1:10" x14ac:dyDescent="0.25">
      <c r="A1004" t="s">
        <v>1320</v>
      </c>
      <c r="B1004" s="1">
        <v>45962</v>
      </c>
      <c r="C1004" t="s">
        <v>604</v>
      </c>
      <c r="D1004" t="s">
        <v>73</v>
      </c>
      <c r="E1004" t="s">
        <v>74</v>
      </c>
      <c r="F1004" t="s">
        <v>29</v>
      </c>
      <c r="G1004">
        <v>3</v>
      </c>
      <c r="H1004">
        <v>0.1</v>
      </c>
      <c r="I1004">
        <v>21.6</v>
      </c>
      <c r="J1004">
        <v>2.85</v>
      </c>
    </row>
    <row r="1005" spans="1:10" x14ac:dyDescent="0.25">
      <c r="A1005" t="s">
        <v>1321</v>
      </c>
      <c r="B1005" s="1">
        <v>45962</v>
      </c>
      <c r="C1005" t="s">
        <v>226</v>
      </c>
      <c r="D1005" t="s">
        <v>73</v>
      </c>
      <c r="E1005" t="s">
        <v>74</v>
      </c>
      <c r="F1005" t="s">
        <v>29</v>
      </c>
      <c r="G1005">
        <v>4</v>
      </c>
      <c r="H1005">
        <v>0.1</v>
      </c>
      <c r="I1005">
        <v>28.8</v>
      </c>
      <c r="J1005">
        <v>5</v>
      </c>
    </row>
    <row r="1006" spans="1:10" x14ac:dyDescent="0.25">
      <c r="A1006" t="s">
        <v>1322</v>
      </c>
      <c r="B1006" s="1">
        <v>45962</v>
      </c>
      <c r="C1006" t="s">
        <v>698</v>
      </c>
      <c r="D1006" t="s">
        <v>73</v>
      </c>
      <c r="E1006" t="s">
        <v>74</v>
      </c>
      <c r="F1006" t="s">
        <v>21</v>
      </c>
      <c r="G1006">
        <v>5</v>
      </c>
      <c r="H1006">
        <v>0</v>
      </c>
      <c r="I1006">
        <v>40</v>
      </c>
      <c r="J1006">
        <v>15.19</v>
      </c>
    </row>
    <row r="1007" spans="1:10" x14ac:dyDescent="0.25">
      <c r="A1007" t="s">
        <v>1323</v>
      </c>
      <c r="B1007" s="1">
        <v>45963</v>
      </c>
      <c r="C1007" t="s">
        <v>308</v>
      </c>
      <c r="D1007" t="s">
        <v>50</v>
      </c>
      <c r="E1007" t="s">
        <v>28</v>
      </c>
      <c r="F1007" t="s">
        <v>29</v>
      </c>
      <c r="G1007">
        <v>5</v>
      </c>
      <c r="H1007">
        <v>0.1</v>
      </c>
      <c r="I1007">
        <v>1080</v>
      </c>
      <c r="J1007">
        <v>134.62</v>
      </c>
    </row>
    <row r="1008" spans="1:10" x14ac:dyDescent="0.25">
      <c r="A1008" t="s">
        <v>1324</v>
      </c>
      <c r="B1008" s="1">
        <v>45963</v>
      </c>
      <c r="C1008" t="s">
        <v>742</v>
      </c>
      <c r="D1008" t="s">
        <v>19</v>
      </c>
      <c r="E1008" t="s">
        <v>20</v>
      </c>
      <c r="F1008" t="s">
        <v>21</v>
      </c>
      <c r="G1008">
        <v>3</v>
      </c>
      <c r="H1008">
        <v>0.2</v>
      </c>
      <c r="I1008">
        <v>432</v>
      </c>
      <c r="J1008">
        <v>44.02</v>
      </c>
    </row>
    <row r="1009" spans="1:10" x14ac:dyDescent="0.25">
      <c r="A1009" t="s">
        <v>1325</v>
      </c>
      <c r="B1009" s="1">
        <v>45963</v>
      </c>
      <c r="C1009" t="s">
        <v>275</v>
      </c>
      <c r="D1009" t="s">
        <v>19</v>
      </c>
      <c r="E1009" t="s">
        <v>20</v>
      </c>
      <c r="F1009" t="s">
        <v>14</v>
      </c>
      <c r="G1009">
        <v>3</v>
      </c>
      <c r="H1009">
        <v>0.05</v>
      </c>
      <c r="I1009">
        <v>513</v>
      </c>
      <c r="J1009">
        <v>108.17</v>
      </c>
    </row>
    <row r="1010" spans="1:10" x14ac:dyDescent="0.25">
      <c r="A1010" t="s">
        <v>1326</v>
      </c>
      <c r="B1010" s="1">
        <v>45964</v>
      </c>
      <c r="C1010" t="s">
        <v>64</v>
      </c>
      <c r="D1010" t="s">
        <v>19</v>
      </c>
      <c r="E1010" t="s">
        <v>20</v>
      </c>
      <c r="F1010" t="s">
        <v>14</v>
      </c>
      <c r="G1010">
        <v>2</v>
      </c>
      <c r="H1010">
        <v>0.05</v>
      </c>
      <c r="I1010">
        <v>342</v>
      </c>
      <c r="J1010">
        <v>60.07</v>
      </c>
    </row>
    <row r="1011" spans="1:10" x14ac:dyDescent="0.25">
      <c r="A1011" t="s">
        <v>1327</v>
      </c>
      <c r="B1011" s="1">
        <v>45964</v>
      </c>
      <c r="C1011" t="s">
        <v>254</v>
      </c>
      <c r="D1011" t="s">
        <v>32</v>
      </c>
      <c r="E1011" t="s">
        <v>28</v>
      </c>
      <c r="F1011" t="s">
        <v>14</v>
      </c>
      <c r="G1011">
        <v>3</v>
      </c>
      <c r="H1011">
        <v>0.05</v>
      </c>
      <c r="I1011">
        <v>1425</v>
      </c>
      <c r="J1011">
        <v>234.11</v>
      </c>
    </row>
    <row r="1012" spans="1:10" x14ac:dyDescent="0.25">
      <c r="A1012" t="s">
        <v>1328</v>
      </c>
      <c r="B1012" s="1">
        <v>45964</v>
      </c>
      <c r="C1012" t="s">
        <v>243</v>
      </c>
      <c r="D1012" t="s">
        <v>12</v>
      </c>
      <c r="E1012" t="s">
        <v>13</v>
      </c>
      <c r="F1012" t="s">
        <v>38</v>
      </c>
      <c r="G1012">
        <v>3</v>
      </c>
      <c r="H1012">
        <v>0.1</v>
      </c>
      <c r="I1012">
        <v>148.5</v>
      </c>
      <c r="J1012">
        <v>37.15</v>
      </c>
    </row>
    <row r="1013" spans="1:10" x14ac:dyDescent="0.25">
      <c r="A1013" t="s">
        <v>1329</v>
      </c>
      <c r="B1013" s="1">
        <v>45964</v>
      </c>
      <c r="C1013" t="s">
        <v>324</v>
      </c>
      <c r="D1013" t="s">
        <v>24</v>
      </c>
      <c r="E1013" t="s">
        <v>20</v>
      </c>
      <c r="F1013" t="s">
        <v>21</v>
      </c>
      <c r="G1013">
        <v>5</v>
      </c>
      <c r="H1013">
        <v>0</v>
      </c>
      <c r="I1013">
        <v>1100</v>
      </c>
      <c r="J1013">
        <v>387.08</v>
      </c>
    </row>
    <row r="1014" spans="1:10" x14ac:dyDescent="0.25">
      <c r="A1014" t="s">
        <v>1330</v>
      </c>
      <c r="B1014" s="1">
        <v>45965</v>
      </c>
      <c r="C1014" t="s">
        <v>145</v>
      </c>
      <c r="D1014" t="s">
        <v>24</v>
      </c>
      <c r="E1014" t="s">
        <v>20</v>
      </c>
      <c r="F1014" t="s">
        <v>29</v>
      </c>
      <c r="G1014">
        <v>5</v>
      </c>
      <c r="H1014">
        <v>0.15</v>
      </c>
      <c r="I1014">
        <v>935</v>
      </c>
      <c r="J1014">
        <v>98.05</v>
      </c>
    </row>
    <row r="1015" spans="1:10" x14ac:dyDescent="0.25">
      <c r="A1015" t="s">
        <v>1331</v>
      </c>
      <c r="B1015" s="1">
        <v>45965</v>
      </c>
      <c r="C1015" t="s">
        <v>260</v>
      </c>
      <c r="D1015" t="s">
        <v>32</v>
      </c>
      <c r="E1015" t="s">
        <v>28</v>
      </c>
      <c r="F1015" t="s">
        <v>21</v>
      </c>
      <c r="G1015">
        <v>2</v>
      </c>
      <c r="H1015">
        <v>0.2</v>
      </c>
      <c r="I1015">
        <v>800</v>
      </c>
      <c r="J1015">
        <v>74.48</v>
      </c>
    </row>
    <row r="1016" spans="1:10" x14ac:dyDescent="0.25">
      <c r="A1016" t="s">
        <v>1332</v>
      </c>
      <c r="B1016" s="1">
        <v>45965</v>
      </c>
      <c r="C1016" t="s">
        <v>187</v>
      </c>
      <c r="D1016" t="s">
        <v>50</v>
      </c>
      <c r="E1016" t="s">
        <v>28</v>
      </c>
      <c r="F1016" t="s">
        <v>38</v>
      </c>
      <c r="G1016">
        <v>2</v>
      </c>
      <c r="H1016">
        <v>0.1</v>
      </c>
      <c r="I1016">
        <v>432</v>
      </c>
      <c r="J1016">
        <v>122.75</v>
      </c>
    </row>
    <row r="1017" spans="1:10" x14ac:dyDescent="0.25">
      <c r="A1017" t="s">
        <v>1333</v>
      </c>
      <c r="B1017" s="1">
        <v>45966</v>
      </c>
      <c r="C1017" t="s">
        <v>145</v>
      </c>
      <c r="D1017" t="s">
        <v>27</v>
      </c>
      <c r="E1017" t="s">
        <v>28</v>
      </c>
      <c r="F1017" t="s">
        <v>14</v>
      </c>
      <c r="G1017">
        <v>4</v>
      </c>
      <c r="H1017">
        <v>0</v>
      </c>
      <c r="I1017">
        <v>2600</v>
      </c>
      <c r="J1017">
        <v>897.21</v>
      </c>
    </row>
    <row r="1018" spans="1:10" x14ac:dyDescent="0.25">
      <c r="A1018" t="s">
        <v>1334</v>
      </c>
      <c r="B1018" s="1">
        <v>45966</v>
      </c>
      <c r="C1018" t="s">
        <v>308</v>
      </c>
      <c r="D1018" t="s">
        <v>81</v>
      </c>
      <c r="E1018" t="s">
        <v>13</v>
      </c>
      <c r="F1018" t="s">
        <v>29</v>
      </c>
      <c r="G1018">
        <v>1</v>
      </c>
      <c r="H1018">
        <v>0.2</v>
      </c>
      <c r="I1018">
        <v>36</v>
      </c>
      <c r="J1018">
        <v>1.55</v>
      </c>
    </row>
    <row r="1019" spans="1:10" x14ac:dyDescent="0.25">
      <c r="A1019" t="s">
        <v>1335</v>
      </c>
      <c r="B1019" s="1">
        <v>45966</v>
      </c>
      <c r="C1019" t="s">
        <v>1074</v>
      </c>
      <c r="D1019" t="s">
        <v>27</v>
      </c>
      <c r="E1019" t="s">
        <v>28</v>
      </c>
      <c r="F1019" t="s">
        <v>38</v>
      </c>
      <c r="G1019">
        <v>2</v>
      </c>
      <c r="H1019">
        <v>0.1</v>
      </c>
      <c r="I1019">
        <v>1170</v>
      </c>
      <c r="J1019">
        <v>314.07</v>
      </c>
    </row>
    <row r="1020" spans="1:10" x14ac:dyDescent="0.25">
      <c r="A1020" t="s">
        <v>1336</v>
      </c>
      <c r="B1020" s="1">
        <v>45967</v>
      </c>
      <c r="C1020" t="s">
        <v>1048</v>
      </c>
      <c r="D1020" t="s">
        <v>50</v>
      </c>
      <c r="E1020" t="s">
        <v>28</v>
      </c>
      <c r="F1020" t="s">
        <v>29</v>
      </c>
      <c r="G1020">
        <v>4</v>
      </c>
      <c r="H1020">
        <v>0.05</v>
      </c>
      <c r="I1020">
        <v>912</v>
      </c>
      <c r="J1020">
        <v>215.3</v>
      </c>
    </row>
    <row r="1021" spans="1:10" x14ac:dyDescent="0.25">
      <c r="A1021" t="s">
        <v>1337</v>
      </c>
      <c r="B1021" s="1">
        <v>45967</v>
      </c>
      <c r="C1021" t="s">
        <v>246</v>
      </c>
      <c r="D1021" t="s">
        <v>24</v>
      </c>
      <c r="E1021" t="s">
        <v>20</v>
      </c>
      <c r="F1021" t="s">
        <v>29</v>
      </c>
      <c r="G1021">
        <v>4</v>
      </c>
      <c r="H1021">
        <v>0</v>
      </c>
      <c r="I1021">
        <v>880</v>
      </c>
      <c r="J1021">
        <v>192.69</v>
      </c>
    </row>
    <row r="1022" spans="1:10" x14ac:dyDescent="0.25">
      <c r="A1022" t="s">
        <v>1338</v>
      </c>
      <c r="B1022" s="1">
        <v>45967</v>
      </c>
      <c r="C1022" t="s">
        <v>460</v>
      </c>
      <c r="D1022" t="s">
        <v>73</v>
      </c>
      <c r="E1022" t="s">
        <v>74</v>
      </c>
      <c r="F1022" t="s">
        <v>14</v>
      </c>
      <c r="G1022">
        <v>4</v>
      </c>
      <c r="H1022">
        <v>0.1</v>
      </c>
      <c r="I1022">
        <v>28.8</v>
      </c>
      <c r="J1022">
        <v>3.48</v>
      </c>
    </row>
    <row r="1023" spans="1:10" x14ac:dyDescent="0.25">
      <c r="A1023" t="s">
        <v>1339</v>
      </c>
      <c r="B1023" s="1">
        <v>45967</v>
      </c>
      <c r="C1023" t="s">
        <v>346</v>
      </c>
      <c r="D1023" t="s">
        <v>81</v>
      </c>
      <c r="E1023" t="s">
        <v>13</v>
      </c>
      <c r="F1023" t="s">
        <v>29</v>
      </c>
      <c r="G1023">
        <v>5</v>
      </c>
      <c r="H1023">
        <v>0</v>
      </c>
      <c r="I1023">
        <v>225</v>
      </c>
      <c r="J1023">
        <v>82.36</v>
      </c>
    </row>
    <row r="1024" spans="1:10" x14ac:dyDescent="0.25">
      <c r="A1024" t="s">
        <v>1340</v>
      </c>
      <c r="B1024" s="1">
        <v>45968</v>
      </c>
      <c r="C1024" t="s">
        <v>956</v>
      </c>
      <c r="D1024" t="s">
        <v>12</v>
      </c>
      <c r="E1024" t="s">
        <v>13</v>
      </c>
      <c r="F1024" t="s">
        <v>14</v>
      </c>
      <c r="G1024">
        <v>1</v>
      </c>
      <c r="H1024">
        <v>0.05</v>
      </c>
      <c r="I1024">
        <v>52.25</v>
      </c>
      <c r="J1024">
        <v>10.039999999999999</v>
      </c>
    </row>
    <row r="1025" spans="1:10" x14ac:dyDescent="0.25">
      <c r="A1025" t="s">
        <v>1341</v>
      </c>
      <c r="B1025" s="1">
        <v>45968</v>
      </c>
      <c r="C1025" t="s">
        <v>194</v>
      </c>
      <c r="D1025" t="s">
        <v>81</v>
      </c>
      <c r="E1025" t="s">
        <v>13</v>
      </c>
      <c r="F1025" t="s">
        <v>38</v>
      </c>
      <c r="G1025">
        <v>4</v>
      </c>
      <c r="H1025">
        <v>0.15</v>
      </c>
      <c r="I1025">
        <v>153</v>
      </c>
      <c r="J1025">
        <v>39.93</v>
      </c>
    </row>
    <row r="1026" spans="1:10" x14ac:dyDescent="0.25">
      <c r="A1026" t="s">
        <v>1342</v>
      </c>
      <c r="B1026" s="1">
        <v>45968</v>
      </c>
      <c r="C1026" t="s">
        <v>839</v>
      </c>
      <c r="D1026" t="s">
        <v>37</v>
      </c>
      <c r="E1026" t="s">
        <v>28</v>
      </c>
      <c r="F1026" t="s">
        <v>21</v>
      </c>
      <c r="G1026">
        <v>3</v>
      </c>
      <c r="H1026">
        <v>0</v>
      </c>
      <c r="I1026">
        <v>240</v>
      </c>
      <c r="J1026">
        <v>44.52</v>
      </c>
    </row>
    <row r="1027" spans="1:10" x14ac:dyDescent="0.25">
      <c r="A1027" t="s">
        <v>1343</v>
      </c>
      <c r="B1027" s="1">
        <v>45969</v>
      </c>
      <c r="C1027" t="s">
        <v>950</v>
      </c>
      <c r="D1027" t="s">
        <v>24</v>
      </c>
      <c r="E1027" t="s">
        <v>20</v>
      </c>
      <c r="F1027" t="s">
        <v>29</v>
      </c>
      <c r="G1027">
        <v>1</v>
      </c>
      <c r="H1027">
        <v>0</v>
      </c>
      <c r="I1027">
        <v>220</v>
      </c>
      <c r="J1027">
        <v>62.33</v>
      </c>
    </row>
    <row r="1028" spans="1:10" x14ac:dyDescent="0.25">
      <c r="A1028" t="s">
        <v>1344</v>
      </c>
      <c r="B1028" s="1">
        <v>45969</v>
      </c>
      <c r="C1028" t="s">
        <v>72</v>
      </c>
      <c r="D1028" t="s">
        <v>50</v>
      </c>
      <c r="E1028" t="s">
        <v>28</v>
      </c>
      <c r="F1028" t="s">
        <v>21</v>
      </c>
      <c r="G1028">
        <v>4</v>
      </c>
      <c r="H1028">
        <v>0.15</v>
      </c>
      <c r="I1028">
        <v>816</v>
      </c>
      <c r="J1028">
        <v>174.75</v>
      </c>
    </row>
    <row r="1029" spans="1:10" x14ac:dyDescent="0.25">
      <c r="A1029" t="s">
        <v>1345</v>
      </c>
      <c r="B1029" s="1">
        <v>45969</v>
      </c>
      <c r="C1029" t="s">
        <v>571</v>
      </c>
      <c r="D1029" t="s">
        <v>50</v>
      </c>
      <c r="E1029" t="s">
        <v>28</v>
      </c>
      <c r="F1029" t="s">
        <v>38</v>
      </c>
      <c r="G1029">
        <v>4</v>
      </c>
      <c r="H1029">
        <v>0.05</v>
      </c>
      <c r="I1029">
        <v>912</v>
      </c>
      <c r="J1029">
        <v>128.41</v>
      </c>
    </row>
    <row r="1030" spans="1:10" x14ac:dyDescent="0.25">
      <c r="A1030" t="s">
        <v>1346</v>
      </c>
      <c r="B1030" s="1">
        <v>45970</v>
      </c>
      <c r="C1030" t="s">
        <v>488</v>
      </c>
      <c r="D1030" t="s">
        <v>12</v>
      </c>
      <c r="E1030" t="s">
        <v>13</v>
      </c>
      <c r="F1030" t="s">
        <v>29</v>
      </c>
      <c r="G1030">
        <v>2</v>
      </c>
      <c r="H1030">
        <v>0.05</v>
      </c>
      <c r="I1030">
        <v>104.5</v>
      </c>
      <c r="J1030">
        <v>26.95</v>
      </c>
    </row>
    <row r="1031" spans="1:10" x14ac:dyDescent="0.25">
      <c r="A1031" t="s">
        <v>1347</v>
      </c>
      <c r="B1031" s="1">
        <v>45970</v>
      </c>
      <c r="C1031" t="s">
        <v>375</v>
      </c>
      <c r="D1031" t="s">
        <v>12</v>
      </c>
      <c r="E1031" t="s">
        <v>13</v>
      </c>
      <c r="F1031" t="s">
        <v>21</v>
      </c>
      <c r="G1031">
        <v>1</v>
      </c>
      <c r="H1031">
        <v>0.15</v>
      </c>
      <c r="I1031">
        <v>46.75</v>
      </c>
      <c r="J1031">
        <v>9.76</v>
      </c>
    </row>
    <row r="1032" spans="1:10" x14ac:dyDescent="0.25">
      <c r="A1032" t="s">
        <v>1348</v>
      </c>
      <c r="B1032" s="1">
        <v>45970</v>
      </c>
      <c r="C1032" t="s">
        <v>518</v>
      </c>
      <c r="D1032" t="s">
        <v>19</v>
      </c>
      <c r="E1032" t="s">
        <v>20</v>
      </c>
      <c r="F1032" t="s">
        <v>21</v>
      </c>
      <c r="G1032">
        <v>3</v>
      </c>
      <c r="H1032">
        <v>0.15</v>
      </c>
      <c r="I1032">
        <v>459</v>
      </c>
      <c r="J1032">
        <v>86.81</v>
      </c>
    </row>
    <row r="1033" spans="1:10" x14ac:dyDescent="0.25">
      <c r="A1033" t="s">
        <v>1349</v>
      </c>
      <c r="B1033" s="1">
        <v>45970</v>
      </c>
      <c r="C1033" t="s">
        <v>911</v>
      </c>
      <c r="D1033" t="s">
        <v>91</v>
      </c>
      <c r="E1033" t="s">
        <v>13</v>
      </c>
      <c r="F1033" t="s">
        <v>38</v>
      </c>
      <c r="G1033">
        <v>5</v>
      </c>
      <c r="H1033">
        <v>0.15</v>
      </c>
      <c r="I1033">
        <v>127.5</v>
      </c>
      <c r="J1033">
        <v>27.56</v>
      </c>
    </row>
    <row r="1034" spans="1:10" x14ac:dyDescent="0.25">
      <c r="A1034" t="s">
        <v>1350</v>
      </c>
      <c r="B1034" s="1">
        <v>45971</v>
      </c>
      <c r="C1034" t="s">
        <v>66</v>
      </c>
      <c r="D1034" t="s">
        <v>37</v>
      </c>
      <c r="E1034" t="s">
        <v>28</v>
      </c>
      <c r="F1034" t="s">
        <v>29</v>
      </c>
      <c r="G1034">
        <v>2</v>
      </c>
      <c r="H1034">
        <v>0.1</v>
      </c>
      <c r="I1034">
        <v>144</v>
      </c>
      <c r="J1034">
        <v>28.27</v>
      </c>
    </row>
    <row r="1035" spans="1:10" x14ac:dyDescent="0.25">
      <c r="A1035" t="s">
        <v>1351</v>
      </c>
      <c r="B1035" s="1">
        <v>45971</v>
      </c>
      <c r="C1035" t="s">
        <v>685</v>
      </c>
      <c r="D1035" t="s">
        <v>50</v>
      </c>
      <c r="E1035" t="s">
        <v>28</v>
      </c>
      <c r="F1035" t="s">
        <v>21</v>
      </c>
      <c r="G1035">
        <v>4</v>
      </c>
      <c r="H1035">
        <v>0.15</v>
      </c>
      <c r="I1035">
        <v>816</v>
      </c>
      <c r="J1035">
        <v>89.25</v>
      </c>
    </row>
    <row r="1036" spans="1:10" x14ac:dyDescent="0.25">
      <c r="A1036" t="s">
        <v>1352</v>
      </c>
      <c r="B1036" s="1">
        <v>45971</v>
      </c>
      <c r="C1036" t="s">
        <v>348</v>
      </c>
      <c r="D1036" t="s">
        <v>12</v>
      </c>
      <c r="E1036" t="s">
        <v>13</v>
      </c>
      <c r="F1036" t="s">
        <v>21</v>
      </c>
      <c r="G1036">
        <v>3</v>
      </c>
      <c r="H1036">
        <v>0.05</v>
      </c>
      <c r="I1036">
        <v>156.75</v>
      </c>
      <c r="J1036">
        <v>43.95</v>
      </c>
    </row>
    <row r="1037" spans="1:10" x14ac:dyDescent="0.25">
      <c r="A1037" t="s">
        <v>1353</v>
      </c>
      <c r="B1037" s="1">
        <v>45972</v>
      </c>
      <c r="C1037" t="s">
        <v>60</v>
      </c>
      <c r="D1037" t="s">
        <v>24</v>
      </c>
      <c r="E1037" t="s">
        <v>20</v>
      </c>
      <c r="F1037" t="s">
        <v>21</v>
      </c>
      <c r="G1037">
        <v>1</v>
      </c>
      <c r="H1037">
        <v>0.05</v>
      </c>
      <c r="I1037">
        <v>209</v>
      </c>
      <c r="J1037">
        <v>32.44</v>
      </c>
    </row>
    <row r="1038" spans="1:10" x14ac:dyDescent="0.25">
      <c r="A1038" t="s">
        <v>1354</v>
      </c>
      <c r="B1038" s="1">
        <v>45972</v>
      </c>
      <c r="C1038" t="s">
        <v>109</v>
      </c>
      <c r="D1038" t="s">
        <v>81</v>
      </c>
      <c r="E1038" t="s">
        <v>13</v>
      </c>
      <c r="F1038" t="s">
        <v>38</v>
      </c>
      <c r="G1038">
        <v>5</v>
      </c>
      <c r="H1038">
        <v>0.05</v>
      </c>
      <c r="I1038">
        <v>213.75</v>
      </c>
      <c r="J1038">
        <v>64.34</v>
      </c>
    </row>
    <row r="1039" spans="1:10" x14ac:dyDescent="0.25">
      <c r="A1039" t="s">
        <v>1355</v>
      </c>
      <c r="B1039" s="1">
        <v>45972</v>
      </c>
      <c r="C1039" t="s">
        <v>528</v>
      </c>
      <c r="D1039" t="s">
        <v>73</v>
      </c>
      <c r="E1039" t="s">
        <v>74</v>
      </c>
      <c r="F1039" t="s">
        <v>29</v>
      </c>
      <c r="G1039">
        <v>2</v>
      </c>
      <c r="H1039">
        <v>0.15</v>
      </c>
      <c r="I1039">
        <v>13.6</v>
      </c>
      <c r="J1039">
        <v>0.78</v>
      </c>
    </row>
    <row r="1040" spans="1:10" x14ac:dyDescent="0.25">
      <c r="A1040" t="s">
        <v>1356</v>
      </c>
      <c r="B1040" s="1">
        <v>45973</v>
      </c>
      <c r="C1040" t="s">
        <v>130</v>
      </c>
      <c r="D1040" t="s">
        <v>37</v>
      </c>
      <c r="E1040" t="s">
        <v>28</v>
      </c>
      <c r="F1040" t="s">
        <v>14</v>
      </c>
      <c r="G1040">
        <v>5</v>
      </c>
      <c r="H1040">
        <v>0.15</v>
      </c>
      <c r="I1040">
        <v>340</v>
      </c>
      <c r="J1040">
        <v>36.409999999999997</v>
      </c>
    </row>
    <row r="1041" spans="1:10" x14ac:dyDescent="0.25">
      <c r="A1041" t="s">
        <v>1357</v>
      </c>
      <c r="B1041" s="1">
        <v>45973</v>
      </c>
      <c r="C1041" t="s">
        <v>99</v>
      </c>
      <c r="D1041" t="s">
        <v>12</v>
      </c>
      <c r="E1041" t="s">
        <v>13</v>
      </c>
      <c r="F1041" t="s">
        <v>29</v>
      </c>
      <c r="G1041">
        <v>2</v>
      </c>
      <c r="H1041">
        <v>0.15</v>
      </c>
      <c r="I1041">
        <v>93.5</v>
      </c>
      <c r="J1041">
        <v>17.690000000000001</v>
      </c>
    </row>
    <row r="1042" spans="1:10" x14ac:dyDescent="0.25">
      <c r="A1042" t="s">
        <v>1358</v>
      </c>
      <c r="B1042" s="1">
        <v>45973</v>
      </c>
      <c r="C1042" t="s">
        <v>909</v>
      </c>
      <c r="D1042" t="s">
        <v>50</v>
      </c>
      <c r="E1042" t="s">
        <v>28</v>
      </c>
      <c r="F1042" t="s">
        <v>14</v>
      </c>
      <c r="G1042">
        <v>5</v>
      </c>
      <c r="H1042">
        <v>0.1</v>
      </c>
      <c r="I1042">
        <v>1080</v>
      </c>
      <c r="J1042">
        <v>289.93</v>
      </c>
    </row>
    <row r="1043" spans="1:10" x14ac:dyDescent="0.25">
      <c r="A1043" t="s">
        <v>1359</v>
      </c>
      <c r="B1043" s="1">
        <v>45974</v>
      </c>
      <c r="C1043" t="s">
        <v>88</v>
      </c>
      <c r="D1043" t="s">
        <v>37</v>
      </c>
      <c r="E1043" t="s">
        <v>28</v>
      </c>
      <c r="F1043" t="s">
        <v>38</v>
      </c>
      <c r="G1043">
        <v>2</v>
      </c>
      <c r="H1043">
        <v>0.05</v>
      </c>
      <c r="I1043">
        <v>152</v>
      </c>
      <c r="J1043">
        <v>31.37</v>
      </c>
    </row>
    <row r="1044" spans="1:10" x14ac:dyDescent="0.25">
      <c r="A1044" t="s">
        <v>1360</v>
      </c>
      <c r="B1044" s="1">
        <v>45974</v>
      </c>
      <c r="C1044" t="s">
        <v>528</v>
      </c>
      <c r="D1044" t="s">
        <v>19</v>
      </c>
      <c r="E1044" t="s">
        <v>20</v>
      </c>
      <c r="F1044" t="s">
        <v>21</v>
      </c>
      <c r="G1044">
        <v>5</v>
      </c>
      <c r="H1044">
        <v>0.05</v>
      </c>
      <c r="I1044">
        <v>855</v>
      </c>
      <c r="J1044">
        <v>259.37</v>
      </c>
    </row>
    <row r="1045" spans="1:10" x14ac:dyDescent="0.25">
      <c r="A1045" t="s">
        <v>1361</v>
      </c>
      <c r="B1045" s="1">
        <v>45974</v>
      </c>
      <c r="C1045" t="s">
        <v>360</v>
      </c>
      <c r="D1045" t="s">
        <v>24</v>
      </c>
      <c r="E1045" t="s">
        <v>20</v>
      </c>
      <c r="F1045" t="s">
        <v>38</v>
      </c>
      <c r="G1045">
        <v>5</v>
      </c>
      <c r="H1045">
        <v>0.05</v>
      </c>
      <c r="I1045">
        <v>1045</v>
      </c>
      <c r="J1045">
        <v>307.44</v>
      </c>
    </row>
    <row r="1046" spans="1:10" x14ac:dyDescent="0.25">
      <c r="A1046" t="s">
        <v>1362</v>
      </c>
      <c r="B1046" s="1">
        <v>45974</v>
      </c>
      <c r="C1046" t="s">
        <v>11</v>
      </c>
      <c r="D1046" t="s">
        <v>91</v>
      </c>
      <c r="E1046" t="s">
        <v>13</v>
      </c>
      <c r="F1046" t="s">
        <v>38</v>
      </c>
      <c r="G1046">
        <v>5</v>
      </c>
      <c r="H1046">
        <v>0</v>
      </c>
      <c r="I1046">
        <v>150</v>
      </c>
      <c r="J1046">
        <v>50.89</v>
      </c>
    </row>
    <row r="1047" spans="1:10" x14ac:dyDescent="0.25">
      <c r="A1047" t="s">
        <v>1363</v>
      </c>
      <c r="B1047" s="1">
        <v>45975</v>
      </c>
      <c r="C1047" t="s">
        <v>169</v>
      </c>
      <c r="D1047" t="s">
        <v>19</v>
      </c>
      <c r="E1047" t="s">
        <v>20</v>
      </c>
      <c r="F1047" t="s">
        <v>14</v>
      </c>
      <c r="G1047">
        <v>5</v>
      </c>
      <c r="H1047">
        <v>0.05</v>
      </c>
      <c r="I1047">
        <v>855</v>
      </c>
      <c r="J1047">
        <v>295.42</v>
      </c>
    </row>
    <row r="1048" spans="1:10" x14ac:dyDescent="0.25">
      <c r="A1048" t="s">
        <v>1364</v>
      </c>
      <c r="B1048" s="1">
        <v>45975</v>
      </c>
      <c r="C1048" t="s">
        <v>322</v>
      </c>
      <c r="D1048" t="s">
        <v>27</v>
      </c>
      <c r="E1048" t="s">
        <v>28</v>
      </c>
      <c r="F1048" t="s">
        <v>21</v>
      </c>
      <c r="G1048">
        <v>4</v>
      </c>
      <c r="H1048">
        <v>0.1</v>
      </c>
      <c r="I1048">
        <v>2340</v>
      </c>
      <c r="J1048">
        <v>518.41999999999996</v>
      </c>
    </row>
    <row r="1049" spans="1:10" x14ac:dyDescent="0.25">
      <c r="A1049" t="s">
        <v>1365</v>
      </c>
      <c r="B1049" s="1">
        <v>45975</v>
      </c>
      <c r="C1049" t="s">
        <v>387</v>
      </c>
      <c r="D1049" t="s">
        <v>91</v>
      </c>
      <c r="E1049" t="s">
        <v>13</v>
      </c>
      <c r="F1049" t="s">
        <v>21</v>
      </c>
      <c r="G1049">
        <v>3</v>
      </c>
      <c r="H1049">
        <v>0</v>
      </c>
      <c r="I1049">
        <v>90</v>
      </c>
      <c r="J1049">
        <v>17.36</v>
      </c>
    </row>
    <row r="1050" spans="1:10" x14ac:dyDescent="0.25">
      <c r="A1050" t="s">
        <v>1366</v>
      </c>
      <c r="B1050" s="1">
        <v>45976</v>
      </c>
      <c r="C1050" t="s">
        <v>56</v>
      </c>
      <c r="D1050" t="s">
        <v>73</v>
      </c>
      <c r="E1050" t="s">
        <v>74</v>
      </c>
      <c r="F1050" t="s">
        <v>38</v>
      </c>
      <c r="G1050">
        <v>3</v>
      </c>
      <c r="H1050">
        <v>0.2</v>
      </c>
      <c r="I1050">
        <v>19.2</v>
      </c>
      <c r="J1050">
        <v>3</v>
      </c>
    </row>
    <row r="1051" spans="1:10" x14ac:dyDescent="0.25">
      <c r="A1051" t="s">
        <v>1367</v>
      </c>
      <c r="B1051" s="1">
        <v>45976</v>
      </c>
      <c r="C1051" t="s">
        <v>432</v>
      </c>
      <c r="D1051" t="s">
        <v>91</v>
      </c>
      <c r="E1051" t="s">
        <v>13</v>
      </c>
      <c r="F1051" t="s">
        <v>38</v>
      </c>
      <c r="G1051">
        <v>1</v>
      </c>
      <c r="H1051">
        <v>0.15</v>
      </c>
      <c r="I1051">
        <v>25.5</v>
      </c>
      <c r="J1051">
        <v>1.32</v>
      </c>
    </row>
    <row r="1052" spans="1:10" x14ac:dyDescent="0.25">
      <c r="A1052" t="s">
        <v>1368</v>
      </c>
      <c r="B1052" s="1">
        <v>45976</v>
      </c>
      <c r="C1052" t="s">
        <v>221</v>
      </c>
      <c r="D1052" t="s">
        <v>50</v>
      </c>
      <c r="E1052" t="s">
        <v>28</v>
      </c>
      <c r="F1052" t="s">
        <v>29</v>
      </c>
      <c r="G1052">
        <v>5</v>
      </c>
      <c r="H1052">
        <v>0.05</v>
      </c>
      <c r="I1052">
        <v>1140</v>
      </c>
      <c r="J1052">
        <v>337.86</v>
      </c>
    </row>
    <row r="1053" spans="1:10" x14ac:dyDescent="0.25">
      <c r="A1053" t="s">
        <v>1369</v>
      </c>
      <c r="B1053" s="1">
        <v>45977</v>
      </c>
      <c r="C1053" t="s">
        <v>888</v>
      </c>
      <c r="D1053" t="s">
        <v>81</v>
      </c>
      <c r="E1053" t="s">
        <v>13</v>
      </c>
      <c r="F1053" t="s">
        <v>14</v>
      </c>
      <c r="G1053">
        <v>4</v>
      </c>
      <c r="H1053">
        <v>0.2</v>
      </c>
      <c r="I1053">
        <v>144</v>
      </c>
      <c r="J1053">
        <v>30.71</v>
      </c>
    </row>
    <row r="1054" spans="1:10" x14ac:dyDescent="0.25">
      <c r="A1054" t="s">
        <v>1370</v>
      </c>
      <c r="B1054" s="1">
        <v>45977</v>
      </c>
      <c r="C1054" t="s">
        <v>49</v>
      </c>
      <c r="D1054" t="s">
        <v>12</v>
      </c>
      <c r="E1054" t="s">
        <v>13</v>
      </c>
      <c r="F1054" t="s">
        <v>14</v>
      </c>
      <c r="G1054">
        <v>4</v>
      </c>
      <c r="H1054">
        <v>0</v>
      </c>
      <c r="I1054">
        <v>220</v>
      </c>
      <c r="J1054">
        <v>55.93</v>
      </c>
    </row>
    <row r="1055" spans="1:10" x14ac:dyDescent="0.25">
      <c r="A1055" t="s">
        <v>1371</v>
      </c>
      <c r="B1055" s="1">
        <v>45977</v>
      </c>
      <c r="C1055" t="s">
        <v>534</v>
      </c>
      <c r="D1055" t="s">
        <v>24</v>
      </c>
      <c r="E1055" t="s">
        <v>20</v>
      </c>
      <c r="F1055" t="s">
        <v>38</v>
      </c>
      <c r="G1055">
        <v>2</v>
      </c>
      <c r="H1055">
        <v>0.1</v>
      </c>
      <c r="I1055">
        <v>396</v>
      </c>
      <c r="J1055">
        <v>75.45</v>
      </c>
    </row>
    <row r="1056" spans="1:10" x14ac:dyDescent="0.25">
      <c r="A1056" t="s">
        <v>1372</v>
      </c>
      <c r="B1056" s="1">
        <v>45977</v>
      </c>
      <c r="C1056" t="s">
        <v>88</v>
      </c>
      <c r="D1056" t="s">
        <v>37</v>
      </c>
      <c r="E1056" t="s">
        <v>28</v>
      </c>
      <c r="F1056" t="s">
        <v>14</v>
      </c>
      <c r="G1056">
        <v>1</v>
      </c>
      <c r="H1056">
        <v>0.1</v>
      </c>
      <c r="I1056">
        <v>72</v>
      </c>
      <c r="J1056">
        <v>14.57</v>
      </c>
    </row>
    <row r="1057" spans="1:10" x14ac:dyDescent="0.25">
      <c r="A1057" t="s">
        <v>1373</v>
      </c>
      <c r="B1057" s="1">
        <v>45978</v>
      </c>
      <c r="C1057" t="s">
        <v>243</v>
      </c>
      <c r="D1057" t="s">
        <v>37</v>
      </c>
      <c r="E1057" t="s">
        <v>28</v>
      </c>
      <c r="F1057" t="s">
        <v>21</v>
      </c>
      <c r="G1057">
        <v>4</v>
      </c>
      <c r="H1057">
        <v>0</v>
      </c>
      <c r="I1057">
        <v>320</v>
      </c>
      <c r="J1057">
        <v>117.86</v>
      </c>
    </row>
    <row r="1058" spans="1:10" x14ac:dyDescent="0.25">
      <c r="A1058" t="s">
        <v>1374</v>
      </c>
      <c r="B1058" s="1">
        <v>45978</v>
      </c>
      <c r="C1058" t="s">
        <v>640</v>
      </c>
      <c r="D1058" t="s">
        <v>73</v>
      </c>
      <c r="E1058" t="s">
        <v>74</v>
      </c>
      <c r="F1058" t="s">
        <v>38</v>
      </c>
      <c r="G1058">
        <v>1</v>
      </c>
      <c r="H1058">
        <v>0</v>
      </c>
      <c r="I1058">
        <v>8</v>
      </c>
      <c r="J1058">
        <v>2.4700000000000002</v>
      </c>
    </row>
    <row r="1059" spans="1:10" x14ac:dyDescent="0.25">
      <c r="A1059" t="s">
        <v>1375</v>
      </c>
      <c r="B1059" s="1">
        <v>45978</v>
      </c>
      <c r="C1059" t="s">
        <v>169</v>
      </c>
      <c r="D1059" t="s">
        <v>91</v>
      </c>
      <c r="E1059" t="s">
        <v>13</v>
      </c>
      <c r="F1059" t="s">
        <v>14</v>
      </c>
      <c r="G1059">
        <v>3</v>
      </c>
      <c r="H1059">
        <v>0.1</v>
      </c>
      <c r="I1059">
        <v>81</v>
      </c>
      <c r="J1059">
        <v>13.07</v>
      </c>
    </row>
    <row r="1060" spans="1:10" x14ac:dyDescent="0.25">
      <c r="A1060" t="s">
        <v>1376</v>
      </c>
      <c r="B1060" s="1">
        <v>45979</v>
      </c>
      <c r="C1060" t="s">
        <v>515</v>
      </c>
      <c r="D1060" t="s">
        <v>81</v>
      </c>
      <c r="E1060" t="s">
        <v>13</v>
      </c>
      <c r="F1060" t="s">
        <v>38</v>
      </c>
      <c r="G1060">
        <v>4</v>
      </c>
      <c r="H1060">
        <v>0.1</v>
      </c>
      <c r="I1060">
        <v>162</v>
      </c>
      <c r="J1060">
        <v>35.61</v>
      </c>
    </row>
    <row r="1061" spans="1:10" x14ac:dyDescent="0.25">
      <c r="A1061" t="s">
        <v>1377</v>
      </c>
      <c r="B1061" s="1">
        <v>45979</v>
      </c>
      <c r="C1061" t="s">
        <v>369</v>
      </c>
      <c r="D1061" t="s">
        <v>37</v>
      </c>
      <c r="E1061" t="s">
        <v>28</v>
      </c>
      <c r="F1061" t="s">
        <v>38</v>
      </c>
      <c r="G1061">
        <v>1</v>
      </c>
      <c r="H1061">
        <v>0.1</v>
      </c>
      <c r="I1061">
        <v>72</v>
      </c>
      <c r="J1061">
        <v>11.82</v>
      </c>
    </row>
    <row r="1062" spans="1:10" x14ac:dyDescent="0.25">
      <c r="A1062" t="s">
        <v>1378</v>
      </c>
      <c r="B1062" s="1">
        <v>45979</v>
      </c>
      <c r="C1062" t="s">
        <v>911</v>
      </c>
      <c r="D1062" t="s">
        <v>91</v>
      </c>
      <c r="E1062" t="s">
        <v>13</v>
      </c>
      <c r="F1062" t="s">
        <v>29</v>
      </c>
      <c r="G1062">
        <v>3</v>
      </c>
      <c r="H1062">
        <v>0.1</v>
      </c>
      <c r="I1062">
        <v>81</v>
      </c>
      <c r="J1062">
        <v>9.7799999999999994</v>
      </c>
    </row>
    <row r="1063" spans="1:10" x14ac:dyDescent="0.25">
      <c r="A1063" t="s">
        <v>1379</v>
      </c>
      <c r="B1063" s="1">
        <v>45980</v>
      </c>
      <c r="C1063" t="s">
        <v>115</v>
      </c>
      <c r="D1063" t="s">
        <v>73</v>
      </c>
      <c r="E1063" t="s">
        <v>74</v>
      </c>
      <c r="F1063" t="s">
        <v>21</v>
      </c>
      <c r="G1063">
        <v>1</v>
      </c>
      <c r="H1063">
        <v>0.15</v>
      </c>
      <c r="I1063">
        <v>6.8</v>
      </c>
      <c r="J1063">
        <v>0.46</v>
      </c>
    </row>
    <row r="1064" spans="1:10" x14ac:dyDescent="0.25">
      <c r="A1064" t="s">
        <v>1380</v>
      </c>
      <c r="B1064" s="1">
        <v>45980</v>
      </c>
      <c r="C1064" t="s">
        <v>153</v>
      </c>
      <c r="D1064" t="s">
        <v>27</v>
      </c>
      <c r="E1064" t="s">
        <v>28</v>
      </c>
      <c r="F1064" t="s">
        <v>38</v>
      </c>
      <c r="G1064">
        <v>2</v>
      </c>
      <c r="H1064">
        <v>0.15</v>
      </c>
      <c r="I1064">
        <v>1105</v>
      </c>
      <c r="J1064">
        <v>174.05</v>
      </c>
    </row>
    <row r="1065" spans="1:10" x14ac:dyDescent="0.25">
      <c r="A1065" t="s">
        <v>1381</v>
      </c>
      <c r="B1065" s="1">
        <v>45980</v>
      </c>
      <c r="C1065" t="s">
        <v>956</v>
      </c>
      <c r="D1065" t="s">
        <v>24</v>
      </c>
      <c r="E1065" t="s">
        <v>20</v>
      </c>
      <c r="F1065" t="s">
        <v>14</v>
      </c>
      <c r="G1065">
        <v>4</v>
      </c>
      <c r="H1065">
        <v>0.15</v>
      </c>
      <c r="I1065">
        <v>748</v>
      </c>
      <c r="J1065">
        <v>166.5</v>
      </c>
    </row>
    <row r="1066" spans="1:10" x14ac:dyDescent="0.25">
      <c r="A1066" t="s">
        <v>1382</v>
      </c>
      <c r="B1066" s="1">
        <v>45981</v>
      </c>
      <c r="C1066" t="s">
        <v>194</v>
      </c>
      <c r="D1066" t="s">
        <v>19</v>
      </c>
      <c r="E1066" t="s">
        <v>20</v>
      </c>
      <c r="F1066" t="s">
        <v>21</v>
      </c>
      <c r="G1066">
        <v>4</v>
      </c>
      <c r="H1066">
        <v>0.05</v>
      </c>
      <c r="I1066">
        <v>684</v>
      </c>
      <c r="J1066">
        <v>179.76</v>
      </c>
    </row>
    <row r="1067" spans="1:10" x14ac:dyDescent="0.25">
      <c r="A1067" t="s">
        <v>1383</v>
      </c>
      <c r="B1067" s="1">
        <v>45981</v>
      </c>
      <c r="C1067" t="s">
        <v>40</v>
      </c>
      <c r="D1067" t="s">
        <v>24</v>
      </c>
      <c r="E1067" t="s">
        <v>20</v>
      </c>
      <c r="F1067" t="s">
        <v>21</v>
      </c>
      <c r="G1067">
        <v>5</v>
      </c>
      <c r="H1067">
        <v>0.1</v>
      </c>
      <c r="I1067">
        <v>990</v>
      </c>
      <c r="J1067">
        <v>172.69</v>
      </c>
    </row>
    <row r="1068" spans="1:10" x14ac:dyDescent="0.25">
      <c r="A1068" t="s">
        <v>1384</v>
      </c>
      <c r="B1068" s="1">
        <v>45981</v>
      </c>
      <c r="C1068" t="s">
        <v>472</v>
      </c>
      <c r="D1068" t="s">
        <v>19</v>
      </c>
      <c r="E1068" t="s">
        <v>20</v>
      </c>
      <c r="F1068" t="s">
        <v>38</v>
      </c>
      <c r="G1068">
        <v>4</v>
      </c>
      <c r="H1068">
        <v>0.1</v>
      </c>
      <c r="I1068">
        <v>648</v>
      </c>
      <c r="J1068">
        <v>61.45</v>
      </c>
    </row>
    <row r="1069" spans="1:10" x14ac:dyDescent="0.25">
      <c r="A1069" t="s">
        <v>1385</v>
      </c>
      <c r="B1069" s="1">
        <v>45981</v>
      </c>
      <c r="C1069" t="s">
        <v>111</v>
      </c>
      <c r="D1069" t="s">
        <v>50</v>
      </c>
      <c r="E1069" t="s">
        <v>28</v>
      </c>
      <c r="F1069" t="s">
        <v>14</v>
      </c>
      <c r="G1069">
        <v>4</v>
      </c>
      <c r="H1069">
        <v>0</v>
      </c>
      <c r="I1069">
        <v>960</v>
      </c>
      <c r="J1069">
        <v>292.64</v>
      </c>
    </row>
    <row r="1070" spans="1:10" x14ac:dyDescent="0.25">
      <c r="A1070" t="s">
        <v>1386</v>
      </c>
      <c r="B1070" s="1">
        <v>45982</v>
      </c>
      <c r="C1070" t="s">
        <v>54</v>
      </c>
      <c r="D1070" t="s">
        <v>12</v>
      </c>
      <c r="E1070" t="s">
        <v>13</v>
      </c>
      <c r="F1070" t="s">
        <v>14</v>
      </c>
      <c r="G1070">
        <v>2</v>
      </c>
      <c r="H1070">
        <v>0.05</v>
      </c>
      <c r="I1070">
        <v>104.5</v>
      </c>
      <c r="J1070">
        <v>29.06</v>
      </c>
    </row>
    <row r="1071" spans="1:10" x14ac:dyDescent="0.25">
      <c r="A1071" t="s">
        <v>1387</v>
      </c>
      <c r="B1071" s="1">
        <v>45982</v>
      </c>
      <c r="C1071" t="s">
        <v>1089</v>
      </c>
      <c r="D1071" t="s">
        <v>73</v>
      </c>
      <c r="E1071" t="s">
        <v>74</v>
      </c>
      <c r="F1071" t="s">
        <v>38</v>
      </c>
      <c r="G1071">
        <v>2</v>
      </c>
      <c r="H1071">
        <v>0.05</v>
      </c>
      <c r="I1071">
        <v>15.2</v>
      </c>
      <c r="J1071">
        <v>4.1500000000000004</v>
      </c>
    </row>
    <row r="1072" spans="1:10" x14ac:dyDescent="0.25">
      <c r="A1072" t="s">
        <v>1388</v>
      </c>
      <c r="B1072" s="1">
        <v>45982</v>
      </c>
      <c r="C1072" t="s">
        <v>543</v>
      </c>
      <c r="D1072" t="s">
        <v>24</v>
      </c>
      <c r="E1072" t="s">
        <v>20</v>
      </c>
      <c r="F1072" t="s">
        <v>21</v>
      </c>
      <c r="G1072">
        <v>1</v>
      </c>
      <c r="H1072">
        <v>0.1</v>
      </c>
      <c r="I1072">
        <v>198</v>
      </c>
      <c r="J1072">
        <v>49.2</v>
      </c>
    </row>
    <row r="1073" spans="1:10" x14ac:dyDescent="0.25">
      <c r="A1073" t="s">
        <v>1389</v>
      </c>
      <c r="B1073" s="1">
        <v>45983</v>
      </c>
      <c r="C1073" t="s">
        <v>881</v>
      </c>
      <c r="D1073" t="s">
        <v>24</v>
      </c>
      <c r="E1073" t="s">
        <v>20</v>
      </c>
      <c r="F1073" t="s">
        <v>21</v>
      </c>
      <c r="G1073">
        <v>1</v>
      </c>
      <c r="H1073">
        <v>0</v>
      </c>
      <c r="I1073">
        <v>220</v>
      </c>
      <c r="J1073">
        <v>49.52</v>
      </c>
    </row>
    <row r="1074" spans="1:10" x14ac:dyDescent="0.25">
      <c r="A1074" t="s">
        <v>1390</v>
      </c>
      <c r="B1074" s="1">
        <v>45983</v>
      </c>
      <c r="C1074" t="s">
        <v>121</v>
      </c>
      <c r="D1074" t="s">
        <v>19</v>
      </c>
      <c r="E1074" t="s">
        <v>20</v>
      </c>
      <c r="F1074" t="s">
        <v>29</v>
      </c>
      <c r="G1074">
        <v>5</v>
      </c>
      <c r="H1074">
        <v>0.2</v>
      </c>
      <c r="I1074">
        <v>720</v>
      </c>
      <c r="J1074">
        <v>79.73</v>
      </c>
    </row>
    <row r="1075" spans="1:10" x14ac:dyDescent="0.25">
      <c r="A1075" t="s">
        <v>1391</v>
      </c>
      <c r="B1075" s="1">
        <v>45983</v>
      </c>
      <c r="C1075" t="s">
        <v>1119</v>
      </c>
      <c r="D1075" t="s">
        <v>37</v>
      </c>
      <c r="E1075" t="s">
        <v>28</v>
      </c>
      <c r="F1075" t="s">
        <v>38</v>
      </c>
      <c r="G1075">
        <v>1</v>
      </c>
      <c r="H1075">
        <v>0</v>
      </c>
      <c r="I1075">
        <v>80</v>
      </c>
      <c r="J1075">
        <v>20.65</v>
      </c>
    </row>
    <row r="1076" spans="1:10" x14ac:dyDescent="0.25">
      <c r="A1076" t="s">
        <v>1392</v>
      </c>
      <c r="B1076" s="1">
        <v>45984</v>
      </c>
      <c r="C1076" t="s">
        <v>409</v>
      </c>
      <c r="D1076" t="s">
        <v>27</v>
      </c>
      <c r="E1076" t="s">
        <v>28</v>
      </c>
      <c r="F1076" t="s">
        <v>14</v>
      </c>
      <c r="G1076">
        <v>4</v>
      </c>
      <c r="H1076">
        <v>0.05</v>
      </c>
      <c r="I1076">
        <v>2470</v>
      </c>
      <c r="J1076">
        <v>655.61</v>
      </c>
    </row>
    <row r="1077" spans="1:10" x14ac:dyDescent="0.25">
      <c r="A1077" t="s">
        <v>1393</v>
      </c>
      <c r="B1077" s="1">
        <v>45984</v>
      </c>
      <c r="C1077" t="s">
        <v>1213</v>
      </c>
      <c r="D1077" t="s">
        <v>27</v>
      </c>
      <c r="E1077" t="s">
        <v>28</v>
      </c>
      <c r="F1077" t="s">
        <v>29</v>
      </c>
      <c r="G1077">
        <v>2</v>
      </c>
      <c r="H1077">
        <v>0.05</v>
      </c>
      <c r="I1077">
        <v>1235</v>
      </c>
      <c r="J1077">
        <v>183.2</v>
      </c>
    </row>
    <row r="1078" spans="1:10" x14ac:dyDescent="0.25">
      <c r="A1078" t="s">
        <v>1394</v>
      </c>
      <c r="B1078" s="1">
        <v>45984</v>
      </c>
      <c r="C1078" t="s">
        <v>495</v>
      </c>
      <c r="D1078" t="s">
        <v>12</v>
      </c>
      <c r="E1078" t="s">
        <v>13</v>
      </c>
      <c r="F1078" t="s">
        <v>14</v>
      </c>
      <c r="G1078">
        <v>4</v>
      </c>
      <c r="H1078">
        <v>0.05</v>
      </c>
      <c r="I1078">
        <v>209</v>
      </c>
      <c r="J1078">
        <v>60.34</v>
      </c>
    </row>
    <row r="1079" spans="1:10" x14ac:dyDescent="0.25">
      <c r="A1079" t="s">
        <v>1395</v>
      </c>
      <c r="B1079" s="1">
        <v>45984</v>
      </c>
      <c r="C1079" t="s">
        <v>490</v>
      </c>
      <c r="D1079" t="s">
        <v>91</v>
      </c>
      <c r="E1079" t="s">
        <v>13</v>
      </c>
      <c r="F1079" t="s">
        <v>38</v>
      </c>
      <c r="G1079">
        <v>5</v>
      </c>
      <c r="H1079">
        <v>0.1</v>
      </c>
      <c r="I1079">
        <v>135</v>
      </c>
      <c r="J1079">
        <v>33.520000000000003</v>
      </c>
    </row>
    <row r="1080" spans="1:10" x14ac:dyDescent="0.25">
      <c r="A1080" t="s">
        <v>1396</v>
      </c>
      <c r="B1080" s="1">
        <v>45985</v>
      </c>
      <c r="C1080" t="s">
        <v>208</v>
      </c>
      <c r="D1080" t="s">
        <v>27</v>
      </c>
      <c r="E1080" t="s">
        <v>28</v>
      </c>
      <c r="F1080" t="s">
        <v>14</v>
      </c>
      <c r="G1080">
        <v>1</v>
      </c>
      <c r="H1080">
        <v>0.1</v>
      </c>
      <c r="I1080">
        <v>585</v>
      </c>
      <c r="J1080">
        <v>75.319999999999993</v>
      </c>
    </row>
    <row r="1081" spans="1:10" x14ac:dyDescent="0.25">
      <c r="A1081" t="s">
        <v>1397</v>
      </c>
      <c r="B1081" s="1">
        <v>45985</v>
      </c>
      <c r="C1081" t="s">
        <v>319</v>
      </c>
      <c r="D1081" t="s">
        <v>91</v>
      </c>
      <c r="E1081" t="s">
        <v>13</v>
      </c>
      <c r="F1081" t="s">
        <v>29</v>
      </c>
      <c r="G1081">
        <v>3</v>
      </c>
      <c r="H1081">
        <v>0.1</v>
      </c>
      <c r="I1081">
        <v>81</v>
      </c>
      <c r="J1081">
        <v>18.760000000000002</v>
      </c>
    </row>
    <row r="1082" spans="1:10" x14ac:dyDescent="0.25">
      <c r="A1082" t="s">
        <v>1398</v>
      </c>
      <c r="B1082" s="1">
        <v>45985</v>
      </c>
      <c r="C1082" t="s">
        <v>76</v>
      </c>
      <c r="D1082" t="s">
        <v>19</v>
      </c>
      <c r="E1082" t="s">
        <v>20</v>
      </c>
      <c r="F1082" t="s">
        <v>38</v>
      </c>
      <c r="G1082">
        <v>4</v>
      </c>
      <c r="H1082">
        <v>0</v>
      </c>
      <c r="I1082">
        <v>720</v>
      </c>
      <c r="J1082">
        <v>229.94</v>
      </c>
    </row>
    <row r="1083" spans="1:10" x14ac:dyDescent="0.25">
      <c r="A1083" t="s">
        <v>1399</v>
      </c>
      <c r="B1083" s="1">
        <v>45986</v>
      </c>
      <c r="C1083" t="s">
        <v>685</v>
      </c>
      <c r="D1083" t="s">
        <v>24</v>
      </c>
      <c r="E1083" t="s">
        <v>20</v>
      </c>
      <c r="F1083" t="s">
        <v>38</v>
      </c>
      <c r="G1083">
        <v>5</v>
      </c>
      <c r="H1083">
        <v>0.05</v>
      </c>
      <c r="I1083">
        <v>1045</v>
      </c>
      <c r="J1083">
        <v>188.28</v>
      </c>
    </row>
    <row r="1084" spans="1:10" x14ac:dyDescent="0.25">
      <c r="A1084" t="s">
        <v>1400</v>
      </c>
      <c r="B1084" s="1">
        <v>45986</v>
      </c>
      <c r="C1084" t="s">
        <v>324</v>
      </c>
      <c r="D1084" t="s">
        <v>91</v>
      </c>
      <c r="E1084" t="s">
        <v>13</v>
      </c>
      <c r="F1084" t="s">
        <v>38</v>
      </c>
      <c r="G1084">
        <v>2</v>
      </c>
      <c r="H1084">
        <v>0.2</v>
      </c>
      <c r="I1084">
        <v>48</v>
      </c>
      <c r="J1084">
        <v>4.3499999999999996</v>
      </c>
    </row>
    <row r="1085" spans="1:10" x14ac:dyDescent="0.25">
      <c r="A1085" t="s">
        <v>1401</v>
      </c>
      <c r="B1085" s="1">
        <v>45986</v>
      </c>
      <c r="C1085" t="s">
        <v>956</v>
      </c>
      <c r="D1085" t="s">
        <v>37</v>
      </c>
      <c r="E1085" t="s">
        <v>28</v>
      </c>
      <c r="F1085" t="s">
        <v>38</v>
      </c>
      <c r="G1085">
        <v>4</v>
      </c>
      <c r="H1085">
        <v>0.1</v>
      </c>
      <c r="I1085">
        <v>288</v>
      </c>
      <c r="J1085">
        <v>75.959999999999994</v>
      </c>
    </row>
    <row r="1086" spans="1:10" x14ac:dyDescent="0.25">
      <c r="A1086" t="s">
        <v>1402</v>
      </c>
      <c r="B1086" s="1">
        <v>45987</v>
      </c>
      <c r="C1086" t="s">
        <v>228</v>
      </c>
      <c r="D1086" t="s">
        <v>12</v>
      </c>
      <c r="E1086" t="s">
        <v>13</v>
      </c>
      <c r="F1086" t="s">
        <v>21</v>
      </c>
      <c r="G1086">
        <v>1</v>
      </c>
      <c r="H1086">
        <v>0.15</v>
      </c>
      <c r="I1086">
        <v>46.75</v>
      </c>
      <c r="J1086">
        <v>11.58</v>
      </c>
    </row>
    <row r="1087" spans="1:10" x14ac:dyDescent="0.25">
      <c r="A1087" t="s">
        <v>1403</v>
      </c>
      <c r="B1087" s="1">
        <v>45987</v>
      </c>
      <c r="C1087" t="s">
        <v>210</v>
      </c>
      <c r="D1087" t="s">
        <v>19</v>
      </c>
      <c r="E1087" t="s">
        <v>20</v>
      </c>
      <c r="F1087" t="s">
        <v>14</v>
      </c>
      <c r="G1087">
        <v>5</v>
      </c>
      <c r="H1087">
        <v>0</v>
      </c>
      <c r="I1087">
        <v>900</v>
      </c>
      <c r="J1087">
        <v>244.12</v>
      </c>
    </row>
    <row r="1088" spans="1:10" x14ac:dyDescent="0.25">
      <c r="A1088" t="s">
        <v>1404</v>
      </c>
      <c r="B1088" s="1">
        <v>45987</v>
      </c>
      <c r="C1088" t="s">
        <v>324</v>
      </c>
      <c r="D1088" t="s">
        <v>37</v>
      </c>
      <c r="E1088" t="s">
        <v>28</v>
      </c>
      <c r="F1088" t="s">
        <v>21</v>
      </c>
      <c r="G1088">
        <v>2</v>
      </c>
      <c r="H1088">
        <v>0.2</v>
      </c>
      <c r="I1088">
        <v>128</v>
      </c>
      <c r="J1088">
        <v>9.24</v>
      </c>
    </row>
    <row r="1089" spans="1:10" x14ac:dyDescent="0.25">
      <c r="A1089" t="s">
        <v>1405</v>
      </c>
      <c r="B1089" s="1">
        <v>45987</v>
      </c>
      <c r="C1089" t="s">
        <v>341</v>
      </c>
      <c r="D1089" t="s">
        <v>91</v>
      </c>
      <c r="E1089" t="s">
        <v>13</v>
      </c>
      <c r="F1089" t="s">
        <v>29</v>
      </c>
      <c r="G1089">
        <v>3</v>
      </c>
      <c r="H1089">
        <v>0</v>
      </c>
      <c r="I1089">
        <v>90</v>
      </c>
      <c r="J1089">
        <v>27.28</v>
      </c>
    </row>
    <row r="1090" spans="1:10" x14ac:dyDescent="0.25">
      <c r="A1090" t="s">
        <v>1406</v>
      </c>
      <c r="B1090" s="1">
        <v>45988</v>
      </c>
      <c r="C1090" t="s">
        <v>885</v>
      </c>
      <c r="D1090" t="s">
        <v>50</v>
      </c>
      <c r="E1090" t="s">
        <v>28</v>
      </c>
      <c r="F1090" t="s">
        <v>38</v>
      </c>
      <c r="G1090">
        <v>4</v>
      </c>
      <c r="H1090">
        <v>0.05</v>
      </c>
      <c r="I1090">
        <v>912</v>
      </c>
      <c r="J1090">
        <v>164.35</v>
      </c>
    </row>
    <row r="1091" spans="1:10" x14ac:dyDescent="0.25">
      <c r="A1091" t="s">
        <v>1407</v>
      </c>
      <c r="B1091" s="1">
        <v>45988</v>
      </c>
      <c r="C1091" t="s">
        <v>599</v>
      </c>
      <c r="D1091" t="s">
        <v>32</v>
      </c>
      <c r="E1091" t="s">
        <v>28</v>
      </c>
      <c r="F1091" t="s">
        <v>14</v>
      </c>
      <c r="G1091">
        <v>5</v>
      </c>
      <c r="H1091">
        <v>0.15</v>
      </c>
      <c r="I1091">
        <v>2125</v>
      </c>
      <c r="J1091">
        <v>455.86</v>
      </c>
    </row>
    <row r="1092" spans="1:10" x14ac:dyDescent="0.25">
      <c r="A1092" t="s">
        <v>1408</v>
      </c>
      <c r="B1092" s="1">
        <v>45988</v>
      </c>
      <c r="C1092" t="s">
        <v>189</v>
      </c>
      <c r="D1092" t="s">
        <v>73</v>
      </c>
      <c r="E1092" t="s">
        <v>74</v>
      </c>
      <c r="F1092" t="s">
        <v>29</v>
      </c>
      <c r="G1092">
        <v>3</v>
      </c>
      <c r="H1092">
        <v>0</v>
      </c>
      <c r="I1092">
        <v>24</v>
      </c>
      <c r="J1092">
        <v>6.01</v>
      </c>
    </row>
    <row r="1093" spans="1:10" x14ac:dyDescent="0.25">
      <c r="A1093" t="s">
        <v>1409</v>
      </c>
      <c r="B1093" s="1">
        <v>45989</v>
      </c>
      <c r="C1093" t="s">
        <v>406</v>
      </c>
      <c r="D1093" t="s">
        <v>37</v>
      </c>
      <c r="E1093" t="s">
        <v>28</v>
      </c>
      <c r="F1093" t="s">
        <v>21</v>
      </c>
      <c r="G1093">
        <v>3</v>
      </c>
      <c r="H1093">
        <v>0</v>
      </c>
      <c r="I1093">
        <v>240</v>
      </c>
      <c r="J1093">
        <v>63.88</v>
      </c>
    </row>
    <row r="1094" spans="1:10" x14ac:dyDescent="0.25">
      <c r="A1094" t="s">
        <v>1410</v>
      </c>
      <c r="B1094" s="1">
        <v>45989</v>
      </c>
      <c r="C1094" t="s">
        <v>371</v>
      </c>
      <c r="D1094" t="s">
        <v>37</v>
      </c>
      <c r="E1094" t="s">
        <v>28</v>
      </c>
      <c r="F1094" t="s">
        <v>21</v>
      </c>
      <c r="G1094">
        <v>4</v>
      </c>
      <c r="H1094">
        <v>0</v>
      </c>
      <c r="I1094">
        <v>320</v>
      </c>
      <c r="J1094">
        <v>92.29</v>
      </c>
    </row>
    <row r="1095" spans="1:10" x14ac:dyDescent="0.25">
      <c r="A1095" t="s">
        <v>1411</v>
      </c>
      <c r="B1095" s="1">
        <v>45989</v>
      </c>
      <c r="C1095" t="s">
        <v>155</v>
      </c>
      <c r="D1095" t="s">
        <v>91</v>
      </c>
      <c r="E1095" t="s">
        <v>13</v>
      </c>
      <c r="F1095" t="s">
        <v>21</v>
      </c>
      <c r="G1095">
        <v>3</v>
      </c>
      <c r="H1095">
        <v>0.2</v>
      </c>
      <c r="I1095">
        <v>72</v>
      </c>
      <c r="J1095">
        <v>11.74</v>
      </c>
    </row>
    <row r="1096" spans="1:10" x14ac:dyDescent="0.25">
      <c r="A1096" t="s">
        <v>1412</v>
      </c>
      <c r="B1096" s="1">
        <v>45990</v>
      </c>
      <c r="C1096" t="s">
        <v>111</v>
      </c>
      <c r="D1096" t="s">
        <v>19</v>
      </c>
      <c r="E1096" t="s">
        <v>20</v>
      </c>
      <c r="F1096" t="s">
        <v>38</v>
      </c>
      <c r="G1096">
        <v>4</v>
      </c>
      <c r="H1096">
        <v>0.05</v>
      </c>
      <c r="I1096">
        <v>684</v>
      </c>
      <c r="J1096">
        <v>109.58</v>
      </c>
    </row>
    <row r="1097" spans="1:10" x14ac:dyDescent="0.25">
      <c r="A1097" t="s">
        <v>1413</v>
      </c>
      <c r="B1097" s="1">
        <v>45990</v>
      </c>
      <c r="C1097" t="s">
        <v>16</v>
      </c>
      <c r="D1097" t="s">
        <v>81</v>
      </c>
      <c r="E1097" t="s">
        <v>13</v>
      </c>
      <c r="F1097" t="s">
        <v>14</v>
      </c>
      <c r="G1097">
        <v>4</v>
      </c>
      <c r="H1097">
        <v>0</v>
      </c>
      <c r="I1097">
        <v>180</v>
      </c>
      <c r="J1097">
        <v>64.569999999999993</v>
      </c>
    </row>
    <row r="1098" spans="1:10" x14ac:dyDescent="0.25">
      <c r="A1098" t="s">
        <v>1414</v>
      </c>
      <c r="B1098" s="1">
        <v>45990</v>
      </c>
      <c r="C1098" t="s">
        <v>528</v>
      </c>
      <c r="D1098" t="s">
        <v>27</v>
      </c>
      <c r="E1098" t="s">
        <v>28</v>
      </c>
      <c r="F1098" t="s">
        <v>21</v>
      </c>
      <c r="G1098">
        <v>1</v>
      </c>
      <c r="H1098">
        <v>0</v>
      </c>
      <c r="I1098">
        <v>650</v>
      </c>
      <c r="J1098">
        <v>123.69</v>
      </c>
    </row>
    <row r="1099" spans="1:10" x14ac:dyDescent="0.25">
      <c r="A1099" t="s">
        <v>1415</v>
      </c>
      <c r="B1099" s="1">
        <v>45991</v>
      </c>
      <c r="C1099" t="s">
        <v>432</v>
      </c>
      <c r="D1099" t="s">
        <v>73</v>
      </c>
      <c r="E1099" t="s">
        <v>74</v>
      </c>
      <c r="F1099" t="s">
        <v>38</v>
      </c>
      <c r="G1099">
        <v>4</v>
      </c>
      <c r="H1099">
        <v>0.2</v>
      </c>
      <c r="I1099">
        <v>25.6</v>
      </c>
      <c r="J1099">
        <v>3.13</v>
      </c>
    </row>
    <row r="1100" spans="1:10" x14ac:dyDescent="0.25">
      <c r="A1100" t="s">
        <v>1416</v>
      </c>
      <c r="B1100" s="1">
        <v>45991</v>
      </c>
      <c r="C1100" t="s">
        <v>196</v>
      </c>
      <c r="D1100" t="s">
        <v>73</v>
      </c>
      <c r="E1100" t="s">
        <v>74</v>
      </c>
      <c r="F1100" t="s">
        <v>38</v>
      </c>
      <c r="G1100">
        <v>1</v>
      </c>
      <c r="H1100">
        <v>0</v>
      </c>
      <c r="I1100">
        <v>8</v>
      </c>
      <c r="J1100">
        <v>1.95</v>
      </c>
    </row>
    <row r="1101" spans="1:10" x14ac:dyDescent="0.25">
      <c r="A1101" t="s">
        <v>1417</v>
      </c>
      <c r="B1101" s="1">
        <v>45991</v>
      </c>
      <c r="C1101" t="s">
        <v>165</v>
      </c>
      <c r="D1101" t="s">
        <v>12</v>
      </c>
      <c r="E1101" t="s">
        <v>13</v>
      </c>
      <c r="F1101" t="s">
        <v>21</v>
      </c>
      <c r="G1101">
        <v>2</v>
      </c>
      <c r="H1101">
        <v>0</v>
      </c>
      <c r="I1101">
        <v>110</v>
      </c>
      <c r="J1101">
        <v>28.68</v>
      </c>
    </row>
    <row r="1102" spans="1:10" x14ac:dyDescent="0.25">
      <c r="A1102" t="s">
        <v>1418</v>
      </c>
      <c r="B1102" s="1">
        <v>45991</v>
      </c>
      <c r="C1102" t="s">
        <v>619</v>
      </c>
      <c r="D1102" t="s">
        <v>37</v>
      </c>
      <c r="E1102" t="s">
        <v>28</v>
      </c>
      <c r="F1102" t="s">
        <v>21</v>
      </c>
      <c r="G1102">
        <v>4</v>
      </c>
      <c r="H1102">
        <v>0.1</v>
      </c>
      <c r="I1102">
        <v>288</v>
      </c>
      <c r="J1102">
        <v>37.450000000000003</v>
      </c>
    </row>
    <row r="1103" spans="1:10" x14ac:dyDescent="0.25">
      <c r="A1103" t="s">
        <v>1419</v>
      </c>
      <c r="B1103" s="1">
        <v>45992</v>
      </c>
      <c r="C1103" t="s">
        <v>490</v>
      </c>
      <c r="D1103" t="s">
        <v>81</v>
      </c>
      <c r="E1103" t="s">
        <v>13</v>
      </c>
      <c r="F1103" t="s">
        <v>29</v>
      </c>
      <c r="G1103">
        <v>2</v>
      </c>
      <c r="H1103">
        <v>0</v>
      </c>
      <c r="I1103">
        <v>90</v>
      </c>
      <c r="J1103">
        <v>32.96</v>
      </c>
    </row>
    <row r="1104" spans="1:10" x14ac:dyDescent="0.25">
      <c r="A1104" t="s">
        <v>1420</v>
      </c>
      <c r="B1104" s="1">
        <v>45992</v>
      </c>
      <c r="C1104" t="s">
        <v>54</v>
      </c>
      <c r="D1104" t="s">
        <v>27</v>
      </c>
      <c r="E1104" t="s">
        <v>28</v>
      </c>
      <c r="F1104" t="s">
        <v>29</v>
      </c>
      <c r="G1104">
        <v>5</v>
      </c>
      <c r="H1104">
        <v>0.1</v>
      </c>
      <c r="I1104">
        <v>2925</v>
      </c>
      <c r="J1104">
        <v>828.33</v>
      </c>
    </row>
    <row r="1105" spans="1:10" x14ac:dyDescent="0.25">
      <c r="A1105" t="s">
        <v>1421</v>
      </c>
      <c r="B1105" s="1">
        <v>45992</v>
      </c>
      <c r="C1105" t="s">
        <v>360</v>
      </c>
      <c r="D1105" t="s">
        <v>27</v>
      </c>
      <c r="E1105" t="s">
        <v>28</v>
      </c>
      <c r="F1105" t="s">
        <v>14</v>
      </c>
      <c r="G1105">
        <v>4</v>
      </c>
      <c r="H1105">
        <v>0</v>
      </c>
      <c r="I1105">
        <v>2600</v>
      </c>
      <c r="J1105">
        <v>774.2</v>
      </c>
    </row>
    <row r="1106" spans="1:10" x14ac:dyDescent="0.25">
      <c r="A1106" t="s">
        <v>1422</v>
      </c>
      <c r="B1106" s="1">
        <v>45993</v>
      </c>
      <c r="C1106" t="s">
        <v>93</v>
      </c>
      <c r="D1106" t="s">
        <v>32</v>
      </c>
      <c r="E1106" t="s">
        <v>28</v>
      </c>
      <c r="F1106" t="s">
        <v>29</v>
      </c>
      <c r="G1106">
        <v>5</v>
      </c>
      <c r="H1106">
        <v>0.05</v>
      </c>
      <c r="I1106">
        <v>2375</v>
      </c>
      <c r="J1106">
        <v>336.77</v>
      </c>
    </row>
    <row r="1107" spans="1:10" x14ac:dyDescent="0.25">
      <c r="A1107" t="s">
        <v>1423</v>
      </c>
      <c r="B1107" s="1">
        <v>45993</v>
      </c>
      <c r="C1107" t="s">
        <v>752</v>
      </c>
      <c r="D1107" t="s">
        <v>50</v>
      </c>
      <c r="E1107" t="s">
        <v>28</v>
      </c>
      <c r="F1107" t="s">
        <v>29</v>
      </c>
      <c r="G1107">
        <v>5</v>
      </c>
      <c r="H1107">
        <v>0</v>
      </c>
      <c r="I1107">
        <v>1200</v>
      </c>
      <c r="J1107">
        <v>379.94</v>
      </c>
    </row>
    <row r="1108" spans="1:10" x14ac:dyDescent="0.25">
      <c r="A1108" t="s">
        <v>1424</v>
      </c>
      <c r="B1108" s="1">
        <v>45993</v>
      </c>
      <c r="C1108" t="s">
        <v>859</v>
      </c>
      <c r="D1108" t="s">
        <v>50</v>
      </c>
      <c r="E1108" t="s">
        <v>28</v>
      </c>
      <c r="F1108" t="s">
        <v>21</v>
      </c>
      <c r="G1108">
        <v>5</v>
      </c>
      <c r="H1108">
        <v>0.15</v>
      </c>
      <c r="I1108">
        <v>1020</v>
      </c>
      <c r="J1108">
        <v>73.23</v>
      </c>
    </row>
    <row r="1109" spans="1:10" x14ac:dyDescent="0.25">
      <c r="A1109" t="s">
        <v>1425</v>
      </c>
      <c r="B1109" s="1">
        <v>45994</v>
      </c>
      <c r="C1109" t="s">
        <v>561</v>
      </c>
      <c r="D1109" t="s">
        <v>27</v>
      </c>
      <c r="E1109" t="s">
        <v>28</v>
      </c>
      <c r="F1109" t="s">
        <v>14</v>
      </c>
      <c r="G1109">
        <v>4</v>
      </c>
      <c r="H1109">
        <v>0.05</v>
      </c>
      <c r="I1109">
        <v>2470</v>
      </c>
      <c r="J1109">
        <v>826.33</v>
      </c>
    </row>
    <row r="1110" spans="1:10" x14ac:dyDescent="0.25">
      <c r="A1110" t="s">
        <v>1426</v>
      </c>
      <c r="B1110" s="1">
        <v>45994</v>
      </c>
      <c r="C1110" t="s">
        <v>117</v>
      </c>
      <c r="D1110" t="s">
        <v>19</v>
      </c>
      <c r="E1110" t="s">
        <v>20</v>
      </c>
      <c r="F1110" t="s">
        <v>38</v>
      </c>
      <c r="G1110">
        <v>2</v>
      </c>
      <c r="H1110">
        <v>0.05</v>
      </c>
      <c r="I1110">
        <v>342</v>
      </c>
      <c r="J1110">
        <v>68.88</v>
      </c>
    </row>
    <row r="1111" spans="1:10" x14ac:dyDescent="0.25">
      <c r="A1111" t="s">
        <v>1427</v>
      </c>
      <c r="B1111" s="1">
        <v>45994</v>
      </c>
      <c r="C1111" t="s">
        <v>378</v>
      </c>
      <c r="D1111" t="s">
        <v>12</v>
      </c>
      <c r="E1111" t="s">
        <v>13</v>
      </c>
      <c r="F1111" t="s">
        <v>14</v>
      </c>
      <c r="G1111">
        <v>3</v>
      </c>
      <c r="H1111">
        <v>0.05</v>
      </c>
      <c r="I1111">
        <v>156.75</v>
      </c>
      <c r="J1111">
        <v>39.72</v>
      </c>
    </row>
    <row r="1112" spans="1:10" x14ac:dyDescent="0.25">
      <c r="A1112" t="s">
        <v>1428</v>
      </c>
      <c r="B1112" s="1">
        <v>45994</v>
      </c>
      <c r="C1112" t="s">
        <v>1429</v>
      </c>
      <c r="D1112" t="s">
        <v>19</v>
      </c>
      <c r="E1112" t="s">
        <v>20</v>
      </c>
      <c r="F1112" t="s">
        <v>14</v>
      </c>
      <c r="G1112">
        <v>5</v>
      </c>
      <c r="H1112">
        <v>0</v>
      </c>
      <c r="I1112">
        <v>900</v>
      </c>
      <c r="J1112">
        <v>222.78</v>
      </c>
    </row>
    <row r="1113" spans="1:10" x14ac:dyDescent="0.25">
      <c r="A1113" t="s">
        <v>1430</v>
      </c>
      <c r="B1113" s="1">
        <v>45995</v>
      </c>
      <c r="C1113" t="s">
        <v>1089</v>
      </c>
      <c r="D1113" t="s">
        <v>91</v>
      </c>
      <c r="E1113" t="s">
        <v>13</v>
      </c>
      <c r="F1113" t="s">
        <v>14</v>
      </c>
      <c r="G1113">
        <v>2</v>
      </c>
      <c r="H1113">
        <v>0</v>
      </c>
      <c r="I1113">
        <v>60</v>
      </c>
      <c r="J1113">
        <v>13.78</v>
      </c>
    </row>
    <row r="1114" spans="1:10" x14ac:dyDescent="0.25">
      <c r="A1114" t="s">
        <v>1431</v>
      </c>
      <c r="B1114" s="1">
        <v>45995</v>
      </c>
      <c r="C1114" t="s">
        <v>204</v>
      </c>
      <c r="D1114" t="s">
        <v>32</v>
      </c>
      <c r="E1114" t="s">
        <v>28</v>
      </c>
      <c r="F1114" t="s">
        <v>29</v>
      </c>
      <c r="G1114">
        <v>3</v>
      </c>
      <c r="H1114">
        <v>0.05</v>
      </c>
      <c r="I1114">
        <v>1425</v>
      </c>
      <c r="J1114">
        <v>339.52</v>
      </c>
    </row>
    <row r="1115" spans="1:10" x14ac:dyDescent="0.25">
      <c r="A1115" t="s">
        <v>1432</v>
      </c>
      <c r="B1115" s="1">
        <v>45995</v>
      </c>
      <c r="C1115" t="s">
        <v>1282</v>
      </c>
      <c r="D1115" t="s">
        <v>73</v>
      </c>
      <c r="E1115" t="s">
        <v>74</v>
      </c>
      <c r="F1115" t="s">
        <v>38</v>
      </c>
      <c r="G1115">
        <v>2</v>
      </c>
      <c r="H1115">
        <v>0.1</v>
      </c>
      <c r="I1115">
        <v>14.4</v>
      </c>
      <c r="J1115">
        <v>3.06</v>
      </c>
    </row>
    <row r="1116" spans="1:10" x14ac:dyDescent="0.25">
      <c r="A1116" t="s">
        <v>1433</v>
      </c>
      <c r="B1116" s="1">
        <v>45996</v>
      </c>
      <c r="C1116" t="s">
        <v>346</v>
      </c>
      <c r="D1116" t="s">
        <v>12</v>
      </c>
      <c r="E1116" t="s">
        <v>13</v>
      </c>
      <c r="F1116" t="s">
        <v>14</v>
      </c>
      <c r="G1116">
        <v>5</v>
      </c>
      <c r="H1116">
        <v>0.05</v>
      </c>
      <c r="I1116">
        <v>261.25</v>
      </c>
      <c r="J1116">
        <v>80.75</v>
      </c>
    </row>
    <row r="1117" spans="1:10" x14ac:dyDescent="0.25">
      <c r="A1117" t="s">
        <v>1434</v>
      </c>
      <c r="B1117" s="1">
        <v>45996</v>
      </c>
      <c r="C1117" t="s">
        <v>97</v>
      </c>
      <c r="D1117" t="s">
        <v>37</v>
      </c>
      <c r="E1117" t="s">
        <v>28</v>
      </c>
      <c r="F1117" t="s">
        <v>14</v>
      </c>
      <c r="G1117">
        <v>2</v>
      </c>
      <c r="H1117">
        <v>0.05</v>
      </c>
      <c r="I1117">
        <v>152</v>
      </c>
      <c r="J1117">
        <v>35.07</v>
      </c>
    </row>
    <row r="1118" spans="1:10" x14ac:dyDescent="0.25">
      <c r="A1118" t="s">
        <v>1435</v>
      </c>
      <c r="B1118" s="1">
        <v>45996</v>
      </c>
      <c r="C1118" t="s">
        <v>1436</v>
      </c>
      <c r="D1118" t="s">
        <v>81</v>
      </c>
      <c r="E1118" t="s">
        <v>13</v>
      </c>
      <c r="F1118" t="s">
        <v>21</v>
      </c>
      <c r="G1118">
        <v>5</v>
      </c>
      <c r="H1118">
        <v>0.05</v>
      </c>
      <c r="I1118">
        <v>213.75</v>
      </c>
      <c r="J1118">
        <v>46.3</v>
      </c>
    </row>
    <row r="1119" spans="1:10" x14ac:dyDescent="0.25">
      <c r="A1119" t="s">
        <v>1437</v>
      </c>
      <c r="B1119" s="1">
        <v>45997</v>
      </c>
      <c r="C1119" t="s">
        <v>406</v>
      </c>
      <c r="D1119" t="s">
        <v>81</v>
      </c>
      <c r="E1119" t="s">
        <v>13</v>
      </c>
      <c r="F1119" t="s">
        <v>14</v>
      </c>
      <c r="G1119">
        <v>4</v>
      </c>
      <c r="H1119">
        <v>0</v>
      </c>
      <c r="I1119">
        <v>180</v>
      </c>
      <c r="J1119">
        <v>45.22</v>
      </c>
    </row>
    <row r="1120" spans="1:10" x14ac:dyDescent="0.25">
      <c r="A1120" t="s">
        <v>1438</v>
      </c>
      <c r="B1120" s="1">
        <v>45997</v>
      </c>
      <c r="C1120" t="s">
        <v>250</v>
      </c>
      <c r="D1120" t="s">
        <v>27</v>
      </c>
      <c r="E1120" t="s">
        <v>28</v>
      </c>
      <c r="F1120" t="s">
        <v>38</v>
      </c>
      <c r="G1120">
        <v>4</v>
      </c>
      <c r="H1120">
        <v>0.05</v>
      </c>
      <c r="I1120">
        <v>2470</v>
      </c>
      <c r="J1120">
        <v>438.48</v>
      </c>
    </row>
    <row r="1121" spans="1:10" x14ac:dyDescent="0.25">
      <c r="A1121" t="s">
        <v>1439</v>
      </c>
      <c r="B1121" s="1">
        <v>45997</v>
      </c>
      <c r="C1121" t="s">
        <v>283</v>
      </c>
      <c r="D1121" t="s">
        <v>37</v>
      </c>
      <c r="E1121" t="s">
        <v>28</v>
      </c>
      <c r="F1121" t="s">
        <v>38</v>
      </c>
      <c r="G1121">
        <v>5</v>
      </c>
      <c r="H1121">
        <v>0.15</v>
      </c>
      <c r="I1121">
        <v>340</v>
      </c>
      <c r="J1121">
        <v>52.07</v>
      </c>
    </row>
    <row r="1122" spans="1:10" x14ac:dyDescent="0.25">
      <c r="A1122" t="s">
        <v>1440</v>
      </c>
      <c r="B1122" s="1">
        <v>45998</v>
      </c>
      <c r="C1122" t="s">
        <v>1441</v>
      </c>
      <c r="D1122" t="s">
        <v>73</v>
      </c>
      <c r="E1122" t="s">
        <v>74</v>
      </c>
      <c r="F1122" t="s">
        <v>29</v>
      </c>
      <c r="G1122">
        <v>3</v>
      </c>
      <c r="H1122">
        <v>0.1</v>
      </c>
      <c r="I1122">
        <v>21.6</v>
      </c>
      <c r="J1122">
        <v>2.9</v>
      </c>
    </row>
    <row r="1123" spans="1:10" x14ac:dyDescent="0.25">
      <c r="A1123" t="s">
        <v>1442</v>
      </c>
      <c r="B1123" s="1">
        <v>45998</v>
      </c>
      <c r="C1123" t="s">
        <v>909</v>
      </c>
      <c r="D1123" t="s">
        <v>81</v>
      </c>
      <c r="E1123" t="s">
        <v>13</v>
      </c>
      <c r="F1123" t="s">
        <v>29</v>
      </c>
      <c r="G1123">
        <v>3</v>
      </c>
      <c r="H1123">
        <v>0.05</v>
      </c>
      <c r="I1123">
        <v>128.25</v>
      </c>
      <c r="J1123">
        <v>30.4</v>
      </c>
    </row>
    <row r="1124" spans="1:10" x14ac:dyDescent="0.25">
      <c r="A1124" t="s">
        <v>1443</v>
      </c>
      <c r="B1124" s="1">
        <v>45998</v>
      </c>
      <c r="C1124" t="s">
        <v>348</v>
      </c>
      <c r="D1124" t="s">
        <v>24</v>
      </c>
      <c r="E1124" t="s">
        <v>20</v>
      </c>
      <c r="F1124" t="s">
        <v>14</v>
      </c>
      <c r="G1124">
        <v>4</v>
      </c>
      <c r="H1124">
        <v>0.15</v>
      </c>
      <c r="I1124">
        <v>748</v>
      </c>
      <c r="J1124">
        <v>56.64</v>
      </c>
    </row>
    <row r="1125" spans="1:10" x14ac:dyDescent="0.25">
      <c r="A1125" t="s">
        <v>1444</v>
      </c>
      <c r="B1125" s="1">
        <v>45998</v>
      </c>
      <c r="C1125" t="s">
        <v>143</v>
      </c>
      <c r="D1125" t="s">
        <v>73</v>
      </c>
      <c r="E1125" t="s">
        <v>74</v>
      </c>
      <c r="F1125" t="s">
        <v>14</v>
      </c>
      <c r="G1125">
        <v>5</v>
      </c>
      <c r="H1125">
        <v>0</v>
      </c>
      <c r="I1125">
        <v>40</v>
      </c>
      <c r="J1125">
        <v>13.14</v>
      </c>
    </row>
    <row r="1126" spans="1:10" x14ac:dyDescent="0.25">
      <c r="A1126" t="s">
        <v>1445</v>
      </c>
      <c r="B1126" s="1">
        <v>45999</v>
      </c>
      <c r="C1126" t="s">
        <v>84</v>
      </c>
      <c r="D1126" t="s">
        <v>81</v>
      </c>
      <c r="E1126" t="s">
        <v>13</v>
      </c>
      <c r="F1126" t="s">
        <v>21</v>
      </c>
      <c r="G1126">
        <v>5</v>
      </c>
      <c r="H1126">
        <v>0.2</v>
      </c>
      <c r="I1126">
        <v>180</v>
      </c>
      <c r="J1126">
        <v>13.03</v>
      </c>
    </row>
    <row r="1127" spans="1:10" x14ac:dyDescent="0.25">
      <c r="A1127" t="s">
        <v>1446</v>
      </c>
      <c r="B1127" s="1">
        <v>45999</v>
      </c>
      <c r="C1127" t="s">
        <v>165</v>
      </c>
      <c r="D1127" t="s">
        <v>32</v>
      </c>
      <c r="E1127" t="s">
        <v>28</v>
      </c>
      <c r="F1127" t="s">
        <v>38</v>
      </c>
      <c r="G1127">
        <v>1</v>
      </c>
      <c r="H1127">
        <v>0.2</v>
      </c>
      <c r="I1127">
        <v>400</v>
      </c>
      <c r="J1127">
        <v>4.18</v>
      </c>
    </row>
    <row r="1128" spans="1:10" x14ac:dyDescent="0.25">
      <c r="A1128" t="s">
        <v>1447</v>
      </c>
      <c r="B1128" s="1">
        <v>45999</v>
      </c>
      <c r="C1128" t="s">
        <v>404</v>
      </c>
      <c r="D1128" t="s">
        <v>19</v>
      </c>
      <c r="E1128" t="s">
        <v>20</v>
      </c>
      <c r="F1128" t="s">
        <v>14</v>
      </c>
      <c r="G1128">
        <v>3</v>
      </c>
      <c r="H1128">
        <v>0.15</v>
      </c>
      <c r="I1128">
        <v>459</v>
      </c>
      <c r="J1128">
        <v>59.09</v>
      </c>
    </row>
    <row r="1129" spans="1:10" x14ac:dyDescent="0.25">
      <c r="A1129" t="s">
        <v>1448</v>
      </c>
      <c r="B1129" s="1">
        <v>46000</v>
      </c>
      <c r="C1129" t="s">
        <v>97</v>
      </c>
      <c r="D1129" t="s">
        <v>81</v>
      </c>
      <c r="E1129" t="s">
        <v>13</v>
      </c>
      <c r="F1129" t="s">
        <v>38</v>
      </c>
      <c r="G1129">
        <v>2</v>
      </c>
      <c r="H1129">
        <v>0</v>
      </c>
      <c r="I1129">
        <v>90</v>
      </c>
      <c r="J1129">
        <v>30.19</v>
      </c>
    </row>
    <row r="1130" spans="1:10" x14ac:dyDescent="0.25">
      <c r="A1130" t="s">
        <v>1449</v>
      </c>
      <c r="B1130" s="1">
        <v>46000</v>
      </c>
      <c r="C1130" t="s">
        <v>416</v>
      </c>
      <c r="D1130" t="s">
        <v>81</v>
      </c>
      <c r="E1130" t="s">
        <v>13</v>
      </c>
      <c r="F1130" t="s">
        <v>14</v>
      </c>
      <c r="G1130">
        <v>2</v>
      </c>
      <c r="H1130">
        <v>0</v>
      </c>
      <c r="I1130">
        <v>90</v>
      </c>
      <c r="J1130">
        <v>19.41</v>
      </c>
    </row>
    <row r="1131" spans="1:10" x14ac:dyDescent="0.25">
      <c r="A1131" t="s">
        <v>1450</v>
      </c>
      <c r="B1131" s="1">
        <v>46000</v>
      </c>
      <c r="C1131" t="s">
        <v>448</v>
      </c>
      <c r="D1131" t="s">
        <v>32</v>
      </c>
      <c r="E1131" t="s">
        <v>28</v>
      </c>
      <c r="F1131" t="s">
        <v>38</v>
      </c>
      <c r="G1131">
        <v>3</v>
      </c>
      <c r="H1131">
        <v>0.1</v>
      </c>
      <c r="I1131">
        <v>1350</v>
      </c>
      <c r="J1131">
        <v>125.26</v>
      </c>
    </row>
    <row r="1132" spans="1:10" x14ac:dyDescent="0.25">
      <c r="A1132" t="s">
        <v>1451</v>
      </c>
      <c r="B1132" s="1">
        <v>46001</v>
      </c>
      <c r="C1132" t="s">
        <v>392</v>
      </c>
      <c r="D1132" t="s">
        <v>81</v>
      </c>
      <c r="E1132" t="s">
        <v>13</v>
      </c>
      <c r="F1132" t="s">
        <v>21</v>
      </c>
      <c r="G1132">
        <v>4</v>
      </c>
      <c r="H1132">
        <v>0</v>
      </c>
      <c r="I1132">
        <v>180</v>
      </c>
      <c r="J1132">
        <v>55.36</v>
      </c>
    </row>
    <row r="1133" spans="1:10" x14ac:dyDescent="0.25">
      <c r="A1133" t="s">
        <v>1452</v>
      </c>
      <c r="B1133" s="1">
        <v>46001</v>
      </c>
      <c r="C1133" t="s">
        <v>191</v>
      </c>
      <c r="D1133" t="s">
        <v>73</v>
      </c>
      <c r="E1133" t="s">
        <v>74</v>
      </c>
      <c r="F1133" t="s">
        <v>14</v>
      </c>
      <c r="G1133">
        <v>5</v>
      </c>
      <c r="H1133">
        <v>0.15</v>
      </c>
      <c r="I1133">
        <v>34</v>
      </c>
      <c r="J1133">
        <v>5.49</v>
      </c>
    </row>
    <row r="1134" spans="1:10" x14ac:dyDescent="0.25">
      <c r="A1134" t="s">
        <v>1453</v>
      </c>
      <c r="B1134" s="1">
        <v>46001</v>
      </c>
      <c r="C1134" t="s">
        <v>604</v>
      </c>
      <c r="D1134" t="s">
        <v>73</v>
      </c>
      <c r="E1134" t="s">
        <v>74</v>
      </c>
      <c r="F1134" t="s">
        <v>38</v>
      </c>
      <c r="G1134">
        <v>2</v>
      </c>
      <c r="H1134">
        <v>0.05</v>
      </c>
      <c r="I1134">
        <v>15.2</v>
      </c>
      <c r="J1134">
        <v>3.6</v>
      </c>
    </row>
    <row r="1135" spans="1:10" x14ac:dyDescent="0.25">
      <c r="A1135" t="s">
        <v>1454</v>
      </c>
      <c r="B1135" s="1">
        <v>46001</v>
      </c>
      <c r="C1135" t="s">
        <v>86</v>
      </c>
      <c r="D1135" t="s">
        <v>81</v>
      </c>
      <c r="E1135" t="s">
        <v>13</v>
      </c>
      <c r="F1135" t="s">
        <v>14</v>
      </c>
      <c r="G1135">
        <v>1</v>
      </c>
      <c r="H1135">
        <v>0.2</v>
      </c>
      <c r="I1135">
        <v>36</v>
      </c>
      <c r="J1135">
        <v>2.14</v>
      </c>
    </row>
    <row r="1136" spans="1:10" x14ac:dyDescent="0.25">
      <c r="A1136" t="s">
        <v>1455</v>
      </c>
      <c r="B1136" s="1">
        <v>46002</v>
      </c>
      <c r="C1136" t="s">
        <v>381</v>
      </c>
      <c r="D1136" t="s">
        <v>24</v>
      </c>
      <c r="E1136" t="s">
        <v>20</v>
      </c>
      <c r="F1136" t="s">
        <v>29</v>
      </c>
      <c r="G1136">
        <v>5</v>
      </c>
      <c r="H1136">
        <v>0.1</v>
      </c>
      <c r="I1136">
        <v>990</v>
      </c>
      <c r="J1136">
        <v>240.48</v>
      </c>
    </row>
    <row r="1137" spans="1:10" x14ac:dyDescent="0.25">
      <c r="A1137" t="s">
        <v>1456</v>
      </c>
      <c r="B1137" s="1">
        <v>46002</v>
      </c>
      <c r="C1137" t="s">
        <v>93</v>
      </c>
      <c r="D1137" t="s">
        <v>24</v>
      </c>
      <c r="E1137" t="s">
        <v>20</v>
      </c>
      <c r="F1137" t="s">
        <v>29</v>
      </c>
      <c r="G1137">
        <v>3</v>
      </c>
      <c r="H1137">
        <v>0</v>
      </c>
      <c r="I1137">
        <v>660</v>
      </c>
      <c r="J1137">
        <v>249.23</v>
      </c>
    </row>
    <row r="1138" spans="1:10" x14ac:dyDescent="0.25">
      <c r="A1138" t="s">
        <v>1457</v>
      </c>
      <c r="B1138" s="1">
        <v>46002</v>
      </c>
      <c r="C1138" t="s">
        <v>1436</v>
      </c>
      <c r="D1138" t="s">
        <v>91</v>
      </c>
      <c r="E1138" t="s">
        <v>13</v>
      </c>
      <c r="F1138" t="s">
        <v>21</v>
      </c>
      <c r="G1138">
        <v>3</v>
      </c>
      <c r="H1138">
        <v>0</v>
      </c>
      <c r="I1138">
        <v>90</v>
      </c>
      <c r="J1138">
        <v>22.13</v>
      </c>
    </row>
    <row r="1139" spans="1:10" x14ac:dyDescent="0.25">
      <c r="A1139" t="s">
        <v>1458</v>
      </c>
      <c r="B1139" s="1">
        <v>46003</v>
      </c>
      <c r="C1139" t="s">
        <v>135</v>
      </c>
      <c r="D1139" t="s">
        <v>73</v>
      </c>
      <c r="E1139" t="s">
        <v>74</v>
      </c>
      <c r="F1139" t="s">
        <v>14</v>
      </c>
      <c r="G1139">
        <v>3</v>
      </c>
      <c r="H1139">
        <v>0</v>
      </c>
      <c r="I1139">
        <v>24</v>
      </c>
      <c r="J1139">
        <v>4.62</v>
      </c>
    </row>
    <row r="1140" spans="1:10" x14ac:dyDescent="0.25">
      <c r="A1140" t="s">
        <v>1459</v>
      </c>
      <c r="B1140" s="1">
        <v>46003</v>
      </c>
      <c r="C1140" t="s">
        <v>839</v>
      </c>
      <c r="D1140" t="s">
        <v>24</v>
      </c>
      <c r="E1140" t="s">
        <v>20</v>
      </c>
      <c r="F1140" t="s">
        <v>29</v>
      </c>
      <c r="G1140">
        <v>5</v>
      </c>
      <c r="H1140">
        <v>0.05</v>
      </c>
      <c r="I1140">
        <v>1045</v>
      </c>
      <c r="J1140">
        <v>224.17</v>
      </c>
    </row>
    <row r="1141" spans="1:10" x14ac:dyDescent="0.25">
      <c r="A1141" t="s">
        <v>1460</v>
      </c>
      <c r="B1141" s="1">
        <v>46003</v>
      </c>
      <c r="C1141" t="s">
        <v>490</v>
      </c>
      <c r="D1141" t="s">
        <v>91</v>
      </c>
      <c r="E1141" t="s">
        <v>13</v>
      </c>
      <c r="F1141" t="s">
        <v>29</v>
      </c>
      <c r="G1141">
        <v>2</v>
      </c>
      <c r="H1141">
        <v>0.1</v>
      </c>
      <c r="I1141">
        <v>54</v>
      </c>
      <c r="J1141">
        <v>9.2200000000000006</v>
      </c>
    </row>
    <row r="1142" spans="1:10" x14ac:dyDescent="0.25">
      <c r="A1142" t="s">
        <v>1461</v>
      </c>
      <c r="B1142" s="1">
        <v>46004</v>
      </c>
      <c r="C1142" t="s">
        <v>888</v>
      </c>
      <c r="D1142" t="s">
        <v>50</v>
      </c>
      <c r="E1142" t="s">
        <v>28</v>
      </c>
      <c r="F1142" t="s">
        <v>29</v>
      </c>
      <c r="G1142">
        <v>2</v>
      </c>
      <c r="H1142">
        <v>0.15</v>
      </c>
      <c r="I1142">
        <v>408</v>
      </c>
      <c r="J1142">
        <v>40.56</v>
      </c>
    </row>
    <row r="1143" spans="1:10" x14ac:dyDescent="0.25">
      <c r="A1143" t="s">
        <v>1462</v>
      </c>
      <c r="B1143" s="1">
        <v>46004</v>
      </c>
      <c r="C1143" t="s">
        <v>671</v>
      </c>
      <c r="D1143" t="s">
        <v>81</v>
      </c>
      <c r="E1143" t="s">
        <v>13</v>
      </c>
      <c r="F1143" t="s">
        <v>14</v>
      </c>
      <c r="G1143">
        <v>5</v>
      </c>
      <c r="H1143">
        <v>0</v>
      </c>
      <c r="I1143">
        <v>225</v>
      </c>
      <c r="J1143">
        <v>59.05</v>
      </c>
    </row>
    <row r="1144" spans="1:10" x14ac:dyDescent="0.25">
      <c r="A1144" t="s">
        <v>1463</v>
      </c>
      <c r="B1144" s="1">
        <v>46004</v>
      </c>
      <c r="C1144" t="s">
        <v>1441</v>
      </c>
      <c r="D1144" t="s">
        <v>81</v>
      </c>
      <c r="E1144" t="s">
        <v>13</v>
      </c>
      <c r="F1144" t="s">
        <v>14</v>
      </c>
      <c r="G1144">
        <v>4</v>
      </c>
      <c r="H1144">
        <v>0</v>
      </c>
      <c r="I1144">
        <v>180</v>
      </c>
      <c r="J1144">
        <v>61.1</v>
      </c>
    </row>
    <row r="1145" spans="1:10" x14ac:dyDescent="0.25">
      <c r="A1145" t="s">
        <v>1464</v>
      </c>
      <c r="B1145" s="1">
        <v>46004</v>
      </c>
      <c r="C1145" t="s">
        <v>169</v>
      </c>
      <c r="D1145" t="s">
        <v>50</v>
      </c>
      <c r="E1145" t="s">
        <v>28</v>
      </c>
      <c r="F1145" t="s">
        <v>14</v>
      </c>
      <c r="G1145">
        <v>1</v>
      </c>
      <c r="H1145">
        <v>0.1</v>
      </c>
      <c r="I1145">
        <v>216</v>
      </c>
      <c r="J1145">
        <v>54.04</v>
      </c>
    </row>
    <row r="1146" spans="1:10" x14ac:dyDescent="0.25">
      <c r="A1146" t="s">
        <v>1465</v>
      </c>
      <c r="B1146" s="1">
        <v>46005</v>
      </c>
      <c r="C1146" t="s">
        <v>385</v>
      </c>
      <c r="D1146" t="s">
        <v>32</v>
      </c>
      <c r="E1146" t="s">
        <v>28</v>
      </c>
      <c r="F1146" t="s">
        <v>14</v>
      </c>
      <c r="G1146">
        <v>1</v>
      </c>
      <c r="H1146">
        <v>0.1</v>
      </c>
      <c r="I1146">
        <v>450</v>
      </c>
      <c r="J1146">
        <v>81.92</v>
      </c>
    </row>
    <row r="1147" spans="1:10" x14ac:dyDescent="0.25">
      <c r="A1147" t="s">
        <v>1466</v>
      </c>
      <c r="B1147" s="1">
        <v>46005</v>
      </c>
      <c r="C1147" t="s">
        <v>72</v>
      </c>
      <c r="D1147" t="s">
        <v>24</v>
      </c>
      <c r="E1147" t="s">
        <v>20</v>
      </c>
      <c r="F1147" t="s">
        <v>21</v>
      </c>
      <c r="G1147">
        <v>2</v>
      </c>
      <c r="H1147">
        <v>0</v>
      </c>
      <c r="I1147">
        <v>440</v>
      </c>
      <c r="J1147">
        <v>136.18</v>
      </c>
    </row>
    <row r="1148" spans="1:10" x14ac:dyDescent="0.25">
      <c r="A1148" t="s">
        <v>1467</v>
      </c>
      <c r="B1148" s="1">
        <v>46005</v>
      </c>
      <c r="C1148" t="s">
        <v>336</v>
      </c>
      <c r="D1148" t="s">
        <v>37</v>
      </c>
      <c r="E1148" t="s">
        <v>28</v>
      </c>
      <c r="F1148" t="s">
        <v>21</v>
      </c>
      <c r="G1148">
        <v>1</v>
      </c>
      <c r="H1148">
        <v>0.15</v>
      </c>
      <c r="I1148">
        <v>68</v>
      </c>
      <c r="J1148">
        <v>8.48</v>
      </c>
    </row>
    <row r="1149" spans="1:10" x14ac:dyDescent="0.25">
      <c r="A1149" t="s">
        <v>1468</v>
      </c>
      <c r="B1149" s="1">
        <v>46006</v>
      </c>
      <c r="C1149" t="s">
        <v>1053</v>
      </c>
      <c r="D1149" t="s">
        <v>73</v>
      </c>
      <c r="E1149" t="s">
        <v>74</v>
      </c>
      <c r="F1149" t="s">
        <v>14</v>
      </c>
      <c r="G1149">
        <v>4</v>
      </c>
      <c r="H1149">
        <v>0.05</v>
      </c>
      <c r="I1149">
        <v>30.4</v>
      </c>
      <c r="J1149">
        <v>8.4600000000000009</v>
      </c>
    </row>
    <row r="1150" spans="1:10" x14ac:dyDescent="0.25">
      <c r="A1150" t="s">
        <v>1469</v>
      </c>
      <c r="B1150" s="1">
        <v>46006</v>
      </c>
      <c r="C1150" t="s">
        <v>336</v>
      </c>
      <c r="D1150" t="s">
        <v>73</v>
      </c>
      <c r="E1150" t="s">
        <v>74</v>
      </c>
      <c r="F1150" t="s">
        <v>21</v>
      </c>
      <c r="G1150">
        <v>5</v>
      </c>
      <c r="H1150">
        <v>0.15</v>
      </c>
      <c r="I1150">
        <v>34</v>
      </c>
      <c r="J1150">
        <v>3.57</v>
      </c>
    </row>
    <row r="1151" spans="1:10" x14ac:dyDescent="0.25">
      <c r="A1151" t="s">
        <v>1470</v>
      </c>
      <c r="B1151" s="1">
        <v>46006</v>
      </c>
      <c r="C1151" t="s">
        <v>1308</v>
      </c>
      <c r="D1151" t="s">
        <v>81</v>
      </c>
      <c r="E1151" t="s">
        <v>13</v>
      </c>
      <c r="F1151" t="s">
        <v>14</v>
      </c>
      <c r="G1151">
        <v>5</v>
      </c>
      <c r="H1151">
        <v>0.05</v>
      </c>
      <c r="I1151">
        <v>213.75</v>
      </c>
      <c r="J1151">
        <v>31.49</v>
      </c>
    </row>
    <row r="1152" spans="1:10" x14ac:dyDescent="0.25">
      <c r="A1152" t="s">
        <v>1471</v>
      </c>
      <c r="B1152" s="1">
        <v>46007</v>
      </c>
      <c r="C1152" t="s">
        <v>352</v>
      </c>
      <c r="D1152" t="s">
        <v>27</v>
      </c>
      <c r="E1152" t="s">
        <v>28</v>
      </c>
      <c r="F1152" t="s">
        <v>21</v>
      </c>
      <c r="G1152">
        <v>1</v>
      </c>
      <c r="H1152">
        <v>0.05</v>
      </c>
      <c r="I1152">
        <v>617.5</v>
      </c>
      <c r="J1152">
        <v>210.21</v>
      </c>
    </row>
    <row r="1153" spans="1:10" x14ac:dyDescent="0.25">
      <c r="A1153" t="s">
        <v>1472</v>
      </c>
      <c r="B1153" s="1">
        <v>46007</v>
      </c>
      <c r="C1153" t="s">
        <v>476</v>
      </c>
      <c r="D1153" t="s">
        <v>50</v>
      </c>
      <c r="E1153" t="s">
        <v>28</v>
      </c>
      <c r="F1153" t="s">
        <v>38</v>
      </c>
      <c r="G1153">
        <v>3</v>
      </c>
      <c r="H1153">
        <v>0.1</v>
      </c>
      <c r="I1153">
        <v>648</v>
      </c>
      <c r="J1153">
        <v>176.27</v>
      </c>
    </row>
    <row r="1154" spans="1:10" x14ac:dyDescent="0.25">
      <c r="A1154" t="s">
        <v>1473</v>
      </c>
      <c r="B1154" s="1">
        <v>46007</v>
      </c>
      <c r="C1154" t="s">
        <v>716</v>
      </c>
      <c r="D1154" t="s">
        <v>73</v>
      </c>
      <c r="E1154" t="s">
        <v>74</v>
      </c>
      <c r="F1154" t="s">
        <v>38</v>
      </c>
      <c r="G1154">
        <v>3</v>
      </c>
      <c r="H1154">
        <v>0.2</v>
      </c>
      <c r="I1154">
        <v>19.2</v>
      </c>
      <c r="J1154">
        <v>3.25</v>
      </c>
    </row>
    <row r="1155" spans="1:10" x14ac:dyDescent="0.25">
      <c r="A1155" t="s">
        <v>1474</v>
      </c>
      <c r="B1155" s="1">
        <v>46008</v>
      </c>
      <c r="C1155" t="s">
        <v>240</v>
      </c>
      <c r="D1155" t="s">
        <v>27</v>
      </c>
      <c r="E1155" t="s">
        <v>28</v>
      </c>
      <c r="F1155" t="s">
        <v>21</v>
      </c>
      <c r="G1155">
        <v>3</v>
      </c>
      <c r="H1155">
        <v>0</v>
      </c>
      <c r="I1155">
        <v>1950</v>
      </c>
      <c r="J1155">
        <v>679.86</v>
      </c>
    </row>
    <row r="1156" spans="1:10" x14ac:dyDescent="0.25">
      <c r="A1156" t="s">
        <v>1475</v>
      </c>
      <c r="B1156" s="1">
        <v>46008</v>
      </c>
      <c r="C1156" t="s">
        <v>355</v>
      </c>
      <c r="D1156" t="s">
        <v>27</v>
      </c>
      <c r="E1156" t="s">
        <v>28</v>
      </c>
      <c r="F1156" t="s">
        <v>21</v>
      </c>
      <c r="G1156">
        <v>2</v>
      </c>
      <c r="H1156">
        <v>0.05</v>
      </c>
      <c r="I1156">
        <v>1235</v>
      </c>
      <c r="J1156">
        <v>312.52999999999997</v>
      </c>
    </row>
    <row r="1157" spans="1:10" x14ac:dyDescent="0.25">
      <c r="A1157" t="s">
        <v>1476</v>
      </c>
      <c r="B1157" s="1">
        <v>46008</v>
      </c>
      <c r="C1157" t="s">
        <v>97</v>
      </c>
      <c r="D1157" t="s">
        <v>37</v>
      </c>
      <c r="E1157" t="s">
        <v>28</v>
      </c>
      <c r="F1157" t="s">
        <v>38</v>
      </c>
      <c r="G1157">
        <v>1</v>
      </c>
      <c r="H1157">
        <v>0.05</v>
      </c>
      <c r="I1157">
        <v>76</v>
      </c>
      <c r="J1157">
        <v>17.37</v>
      </c>
    </row>
    <row r="1158" spans="1:10" x14ac:dyDescent="0.25">
      <c r="A1158" t="s">
        <v>1477</v>
      </c>
      <c r="B1158" s="1">
        <v>46008</v>
      </c>
      <c r="C1158" t="s">
        <v>596</v>
      </c>
      <c r="D1158" t="s">
        <v>12</v>
      </c>
      <c r="E1158" t="s">
        <v>13</v>
      </c>
      <c r="F1158" t="s">
        <v>21</v>
      </c>
      <c r="G1158">
        <v>1</v>
      </c>
      <c r="H1158">
        <v>0.15</v>
      </c>
      <c r="I1158">
        <v>46.75</v>
      </c>
      <c r="J1158">
        <v>11.51</v>
      </c>
    </row>
    <row r="1159" spans="1:10" x14ac:dyDescent="0.25">
      <c r="A1159" t="s">
        <v>1478</v>
      </c>
      <c r="B1159" s="1">
        <v>46009</v>
      </c>
      <c r="C1159" t="s">
        <v>341</v>
      </c>
      <c r="D1159" t="s">
        <v>50</v>
      </c>
      <c r="E1159" t="s">
        <v>28</v>
      </c>
      <c r="F1159" t="s">
        <v>29</v>
      </c>
      <c r="G1159">
        <v>4</v>
      </c>
      <c r="H1159">
        <v>0.1</v>
      </c>
      <c r="I1159">
        <v>864</v>
      </c>
      <c r="J1159">
        <v>137.47999999999999</v>
      </c>
    </row>
    <row r="1160" spans="1:10" x14ac:dyDescent="0.25">
      <c r="A1160" t="s">
        <v>1479</v>
      </c>
      <c r="B1160" s="1">
        <v>46009</v>
      </c>
      <c r="C1160" t="s">
        <v>554</v>
      </c>
      <c r="D1160" t="s">
        <v>27</v>
      </c>
      <c r="E1160" t="s">
        <v>28</v>
      </c>
      <c r="F1160" t="s">
        <v>14</v>
      </c>
      <c r="G1160">
        <v>4</v>
      </c>
      <c r="H1160">
        <v>0</v>
      </c>
      <c r="I1160">
        <v>2600</v>
      </c>
      <c r="J1160">
        <v>830.06</v>
      </c>
    </row>
    <row r="1161" spans="1:10" x14ac:dyDescent="0.25">
      <c r="A1161" t="s">
        <v>1480</v>
      </c>
      <c r="B1161" s="1">
        <v>46009</v>
      </c>
      <c r="C1161" t="s">
        <v>1089</v>
      </c>
      <c r="D1161" t="s">
        <v>12</v>
      </c>
      <c r="E1161" t="s">
        <v>13</v>
      </c>
      <c r="F1161" t="s">
        <v>38</v>
      </c>
      <c r="G1161">
        <v>1</v>
      </c>
      <c r="H1161">
        <v>0.1</v>
      </c>
      <c r="I1161">
        <v>49.5</v>
      </c>
      <c r="J1161">
        <v>9.75</v>
      </c>
    </row>
    <row r="1162" spans="1:10" x14ac:dyDescent="0.25">
      <c r="A1162" t="s">
        <v>1481</v>
      </c>
      <c r="B1162" s="1">
        <v>46010</v>
      </c>
      <c r="C1162" t="s">
        <v>547</v>
      </c>
      <c r="D1162" t="s">
        <v>81</v>
      </c>
      <c r="E1162" t="s">
        <v>13</v>
      </c>
      <c r="F1162" t="s">
        <v>29</v>
      </c>
      <c r="G1162">
        <v>3</v>
      </c>
      <c r="H1162">
        <v>0.1</v>
      </c>
      <c r="I1162">
        <v>121.5</v>
      </c>
      <c r="J1162">
        <v>15.12</v>
      </c>
    </row>
    <row r="1163" spans="1:10" x14ac:dyDescent="0.25">
      <c r="A1163" t="s">
        <v>1482</v>
      </c>
      <c r="B1163" s="1">
        <v>46010</v>
      </c>
      <c r="C1163" t="s">
        <v>909</v>
      </c>
      <c r="D1163" t="s">
        <v>19</v>
      </c>
      <c r="E1163" t="s">
        <v>20</v>
      </c>
      <c r="F1163" t="s">
        <v>21</v>
      </c>
      <c r="G1163">
        <v>4</v>
      </c>
      <c r="H1163">
        <v>0.15</v>
      </c>
      <c r="I1163">
        <v>612</v>
      </c>
      <c r="J1163">
        <v>114.61</v>
      </c>
    </row>
    <row r="1164" spans="1:10" x14ac:dyDescent="0.25">
      <c r="A1164" t="s">
        <v>1483</v>
      </c>
      <c r="B1164" s="1">
        <v>46010</v>
      </c>
      <c r="C1164" t="s">
        <v>387</v>
      </c>
      <c r="D1164" t="s">
        <v>81</v>
      </c>
      <c r="E1164" t="s">
        <v>13</v>
      </c>
      <c r="F1164" t="s">
        <v>38</v>
      </c>
      <c r="G1164">
        <v>2</v>
      </c>
      <c r="H1164">
        <v>0.1</v>
      </c>
      <c r="I1164">
        <v>81</v>
      </c>
      <c r="J1164">
        <v>12.91</v>
      </c>
    </row>
    <row r="1165" spans="1:10" x14ac:dyDescent="0.25">
      <c r="A1165" t="s">
        <v>1484</v>
      </c>
      <c r="B1165" s="1">
        <v>46011</v>
      </c>
      <c r="C1165" t="s">
        <v>26</v>
      </c>
      <c r="D1165" t="s">
        <v>12</v>
      </c>
      <c r="E1165" t="s">
        <v>13</v>
      </c>
      <c r="F1165" t="s">
        <v>38</v>
      </c>
      <c r="G1165">
        <v>5</v>
      </c>
      <c r="H1165">
        <v>0</v>
      </c>
      <c r="I1165">
        <v>275</v>
      </c>
      <c r="J1165">
        <v>79.44</v>
      </c>
    </row>
    <row r="1166" spans="1:10" x14ac:dyDescent="0.25">
      <c r="A1166" t="s">
        <v>1485</v>
      </c>
      <c r="B1166" s="1">
        <v>46011</v>
      </c>
      <c r="C1166" t="s">
        <v>714</v>
      </c>
      <c r="D1166" t="s">
        <v>32</v>
      </c>
      <c r="E1166" t="s">
        <v>28</v>
      </c>
      <c r="F1166" t="s">
        <v>29</v>
      </c>
      <c r="G1166">
        <v>1</v>
      </c>
      <c r="H1166">
        <v>0.05</v>
      </c>
      <c r="I1166">
        <v>475</v>
      </c>
      <c r="J1166">
        <v>130.83000000000001</v>
      </c>
    </row>
    <row r="1167" spans="1:10" x14ac:dyDescent="0.25">
      <c r="A1167" t="s">
        <v>1486</v>
      </c>
      <c r="B1167" s="1">
        <v>46011</v>
      </c>
      <c r="C1167" t="s">
        <v>714</v>
      </c>
      <c r="D1167" t="s">
        <v>27</v>
      </c>
      <c r="E1167" t="s">
        <v>28</v>
      </c>
      <c r="F1167" t="s">
        <v>38</v>
      </c>
      <c r="G1167">
        <v>3</v>
      </c>
      <c r="H1167">
        <v>0</v>
      </c>
      <c r="I1167">
        <v>1950</v>
      </c>
      <c r="J1167">
        <v>689.6</v>
      </c>
    </row>
    <row r="1168" spans="1:10" x14ac:dyDescent="0.25">
      <c r="A1168" t="s">
        <v>1487</v>
      </c>
      <c r="B1168" s="1">
        <v>46011</v>
      </c>
      <c r="C1168" t="s">
        <v>772</v>
      </c>
      <c r="D1168" t="s">
        <v>50</v>
      </c>
      <c r="E1168" t="s">
        <v>28</v>
      </c>
      <c r="F1168" t="s">
        <v>14</v>
      </c>
      <c r="G1168">
        <v>3</v>
      </c>
      <c r="H1168">
        <v>0.15</v>
      </c>
      <c r="I1168">
        <v>612</v>
      </c>
      <c r="J1168">
        <v>47.94</v>
      </c>
    </row>
    <row r="1169" spans="1:10" x14ac:dyDescent="0.25">
      <c r="A1169" t="s">
        <v>1488</v>
      </c>
      <c r="B1169" s="1">
        <v>46012</v>
      </c>
      <c r="C1169" t="s">
        <v>145</v>
      </c>
      <c r="D1169" t="s">
        <v>12</v>
      </c>
      <c r="E1169" t="s">
        <v>13</v>
      </c>
      <c r="F1169" t="s">
        <v>29</v>
      </c>
      <c r="G1169">
        <v>4</v>
      </c>
      <c r="H1169">
        <v>0.05</v>
      </c>
      <c r="I1169">
        <v>209</v>
      </c>
      <c r="J1169">
        <v>39.07</v>
      </c>
    </row>
    <row r="1170" spans="1:10" x14ac:dyDescent="0.25">
      <c r="A1170" t="s">
        <v>1489</v>
      </c>
      <c r="B1170" s="1">
        <v>46012</v>
      </c>
      <c r="C1170" t="s">
        <v>289</v>
      </c>
      <c r="D1170" t="s">
        <v>73</v>
      </c>
      <c r="E1170" t="s">
        <v>74</v>
      </c>
      <c r="F1170" t="s">
        <v>14</v>
      </c>
      <c r="G1170">
        <v>3</v>
      </c>
      <c r="H1170">
        <v>0</v>
      </c>
      <c r="I1170">
        <v>24</v>
      </c>
      <c r="J1170">
        <v>4.92</v>
      </c>
    </row>
    <row r="1171" spans="1:10" x14ac:dyDescent="0.25">
      <c r="A1171" t="s">
        <v>1490</v>
      </c>
      <c r="B1171" s="1">
        <v>46012</v>
      </c>
      <c r="C1171" t="s">
        <v>881</v>
      </c>
      <c r="D1171" t="s">
        <v>27</v>
      </c>
      <c r="E1171" t="s">
        <v>28</v>
      </c>
      <c r="F1171" t="s">
        <v>14</v>
      </c>
      <c r="G1171">
        <v>4</v>
      </c>
      <c r="H1171">
        <v>0</v>
      </c>
      <c r="I1171">
        <v>2600</v>
      </c>
      <c r="J1171">
        <v>848.64</v>
      </c>
    </row>
    <row r="1172" spans="1:10" x14ac:dyDescent="0.25">
      <c r="A1172" t="s">
        <v>1491</v>
      </c>
      <c r="B1172" s="1">
        <v>46013</v>
      </c>
      <c r="C1172" t="s">
        <v>306</v>
      </c>
      <c r="D1172" t="s">
        <v>37</v>
      </c>
      <c r="E1172" t="s">
        <v>28</v>
      </c>
      <c r="F1172" t="s">
        <v>38</v>
      </c>
      <c r="G1172">
        <v>1</v>
      </c>
      <c r="H1172">
        <v>0.05</v>
      </c>
      <c r="I1172">
        <v>76</v>
      </c>
      <c r="J1172">
        <v>14.89</v>
      </c>
    </row>
    <row r="1173" spans="1:10" x14ac:dyDescent="0.25">
      <c r="A1173" t="s">
        <v>1492</v>
      </c>
      <c r="B1173" s="1">
        <v>46013</v>
      </c>
      <c r="C1173" t="s">
        <v>54</v>
      </c>
      <c r="D1173" t="s">
        <v>19</v>
      </c>
      <c r="E1173" t="s">
        <v>20</v>
      </c>
      <c r="F1173" t="s">
        <v>29</v>
      </c>
      <c r="G1173">
        <v>2</v>
      </c>
      <c r="H1173">
        <v>0.05</v>
      </c>
      <c r="I1173">
        <v>342</v>
      </c>
      <c r="J1173">
        <v>111.92</v>
      </c>
    </row>
    <row r="1174" spans="1:10" x14ac:dyDescent="0.25">
      <c r="A1174" t="s">
        <v>1493</v>
      </c>
      <c r="B1174" s="1">
        <v>46013</v>
      </c>
      <c r="C1174" t="s">
        <v>457</v>
      </c>
      <c r="D1174" t="s">
        <v>32</v>
      </c>
      <c r="E1174" t="s">
        <v>28</v>
      </c>
      <c r="F1174" t="s">
        <v>14</v>
      </c>
      <c r="G1174">
        <v>3</v>
      </c>
      <c r="H1174">
        <v>0.15</v>
      </c>
      <c r="I1174">
        <v>1275</v>
      </c>
      <c r="J1174">
        <v>292.81</v>
      </c>
    </row>
    <row r="1175" spans="1:10" x14ac:dyDescent="0.25">
      <c r="A1175" t="s">
        <v>1494</v>
      </c>
      <c r="B1175" s="1">
        <v>46014</v>
      </c>
      <c r="C1175" t="s">
        <v>101</v>
      </c>
      <c r="D1175" t="s">
        <v>73</v>
      </c>
      <c r="E1175" t="s">
        <v>74</v>
      </c>
      <c r="F1175" t="s">
        <v>14</v>
      </c>
      <c r="G1175">
        <v>2</v>
      </c>
      <c r="H1175">
        <v>0.2</v>
      </c>
      <c r="I1175">
        <v>12.8</v>
      </c>
      <c r="J1175">
        <v>2.31</v>
      </c>
    </row>
    <row r="1176" spans="1:10" x14ac:dyDescent="0.25">
      <c r="A1176" t="s">
        <v>1495</v>
      </c>
      <c r="B1176" s="1">
        <v>46014</v>
      </c>
      <c r="C1176" t="s">
        <v>36</v>
      </c>
      <c r="D1176" t="s">
        <v>50</v>
      </c>
      <c r="E1176" t="s">
        <v>28</v>
      </c>
      <c r="F1176" t="s">
        <v>29</v>
      </c>
      <c r="G1176">
        <v>5</v>
      </c>
      <c r="H1176">
        <v>0.05</v>
      </c>
      <c r="I1176">
        <v>1140</v>
      </c>
      <c r="J1176">
        <v>236.91</v>
      </c>
    </row>
    <row r="1177" spans="1:10" x14ac:dyDescent="0.25">
      <c r="A1177" t="s">
        <v>1496</v>
      </c>
      <c r="B1177" s="1">
        <v>46014</v>
      </c>
      <c r="C1177" t="s">
        <v>243</v>
      </c>
      <c r="D1177" t="s">
        <v>24</v>
      </c>
      <c r="E1177" t="s">
        <v>20</v>
      </c>
      <c r="F1177" t="s">
        <v>38</v>
      </c>
      <c r="G1177">
        <v>4</v>
      </c>
      <c r="H1177">
        <v>0.15</v>
      </c>
      <c r="I1177">
        <v>748</v>
      </c>
      <c r="J1177">
        <v>91.49</v>
      </c>
    </row>
    <row r="1178" spans="1:10" x14ac:dyDescent="0.25">
      <c r="A1178" t="s">
        <v>1497</v>
      </c>
      <c r="B1178" s="1">
        <v>46015</v>
      </c>
      <c r="C1178" t="s">
        <v>705</v>
      </c>
      <c r="D1178" t="s">
        <v>50</v>
      </c>
      <c r="E1178" t="s">
        <v>28</v>
      </c>
      <c r="F1178" t="s">
        <v>21</v>
      </c>
      <c r="G1178">
        <v>2</v>
      </c>
      <c r="H1178">
        <v>0</v>
      </c>
      <c r="I1178">
        <v>480</v>
      </c>
      <c r="J1178">
        <v>153.66</v>
      </c>
    </row>
    <row r="1179" spans="1:10" x14ac:dyDescent="0.25">
      <c r="A1179" t="s">
        <v>1498</v>
      </c>
      <c r="B1179" s="1">
        <v>46015</v>
      </c>
      <c r="C1179" t="s">
        <v>295</v>
      </c>
      <c r="D1179" t="s">
        <v>32</v>
      </c>
      <c r="E1179" t="s">
        <v>28</v>
      </c>
      <c r="F1179" t="s">
        <v>38</v>
      </c>
      <c r="G1179">
        <v>2</v>
      </c>
      <c r="H1179">
        <v>0.05</v>
      </c>
      <c r="I1179">
        <v>950</v>
      </c>
      <c r="J1179">
        <v>312.32</v>
      </c>
    </row>
    <row r="1180" spans="1:10" x14ac:dyDescent="0.25">
      <c r="A1180" t="s">
        <v>1499</v>
      </c>
      <c r="B1180" s="1">
        <v>46015</v>
      </c>
      <c r="C1180" t="s">
        <v>785</v>
      </c>
      <c r="D1180" t="s">
        <v>19</v>
      </c>
      <c r="E1180" t="s">
        <v>20</v>
      </c>
      <c r="F1180" t="s">
        <v>38</v>
      </c>
      <c r="G1180">
        <v>1</v>
      </c>
      <c r="H1180">
        <v>0.1</v>
      </c>
      <c r="I1180">
        <v>162</v>
      </c>
      <c r="J1180">
        <v>17.78</v>
      </c>
    </row>
    <row r="1181" spans="1:10" x14ac:dyDescent="0.25">
      <c r="A1181" t="s">
        <v>1500</v>
      </c>
      <c r="B1181" s="1">
        <v>46015</v>
      </c>
      <c r="C1181" t="s">
        <v>531</v>
      </c>
      <c r="D1181" t="s">
        <v>12</v>
      </c>
      <c r="E1181" t="s">
        <v>13</v>
      </c>
      <c r="F1181" t="s">
        <v>29</v>
      </c>
      <c r="G1181">
        <v>1</v>
      </c>
      <c r="H1181">
        <v>0</v>
      </c>
      <c r="I1181">
        <v>55</v>
      </c>
      <c r="J1181">
        <v>19.32</v>
      </c>
    </row>
    <row r="1182" spans="1:10" x14ac:dyDescent="0.25">
      <c r="A1182" t="s">
        <v>1501</v>
      </c>
      <c r="B1182" s="1">
        <v>46016</v>
      </c>
      <c r="C1182" t="s">
        <v>145</v>
      </c>
      <c r="D1182" t="s">
        <v>37</v>
      </c>
      <c r="E1182" t="s">
        <v>28</v>
      </c>
      <c r="F1182" t="s">
        <v>29</v>
      </c>
      <c r="G1182">
        <v>2</v>
      </c>
      <c r="H1182">
        <v>0.05</v>
      </c>
      <c r="I1182">
        <v>152</v>
      </c>
      <c r="J1182">
        <v>37.340000000000003</v>
      </c>
    </row>
    <row r="1183" spans="1:10" x14ac:dyDescent="0.25">
      <c r="A1183" t="s">
        <v>1502</v>
      </c>
      <c r="B1183" s="1">
        <v>46016</v>
      </c>
      <c r="C1183" t="s">
        <v>293</v>
      </c>
      <c r="D1183" t="s">
        <v>73</v>
      </c>
      <c r="E1183" t="s">
        <v>74</v>
      </c>
      <c r="F1183" t="s">
        <v>38</v>
      </c>
      <c r="G1183">
        <v>3</v>
      </c>
      <c r="H1183">
        <v>0.05</v>
      </c>
      <c r="I1183">
        <v>22.8</v>
      </c>
      <c r="J1183">
        <v>4.3099999999999996</v>
      </c>
    </row>
    <row r="1184" spans="1:10" x14ac:dyDescent="0.25">
      <c r="A1184" t="s">
        <v>1503</v>
      </c>
      <c r="B1184" s="1">
        <v>46016</v>
      </c>
      <c r="C1184" t="s">
        <v>200</v>
      </c>
      <c r="D1184" t="s">
        <v>81</v>
      </c>
      <c r="E1184" t="s">
        <v>13</v>
      </c>
      <c r="F1184" t="s">
        <v>29</v>
      </c>
      <c r="G1184">
        <v>3</v>
      </c>
      <c r="H1184">
        <v>0.2</v>
      </c>
      <c r="I1184">
        <v>108</v>
      </c>
      <c r="J1184">
        <v>11.49</v>
      </c>
    </row>
    <row r="1185" spans="1:10" x14ac:dyDescent="0.25">
      <c r="A1185" t="s">
        <v>1504</v>
      </c>
      <c r="B1185" s="1">
        <v>46017</v>
      </c>
      <c r="C1185" t="s">
        <v>439</v>
      </c>
      <c r="D1185" t="s">
        <v>24</v>
      </c>
      <c r="E1185" t="s">
        <v>20</v>
      </c>
      <c r="F1185" t="s">
        <v>14</v>
      </c>
      <c r="G1185">
        <v>3</v>
      </c>
      <c r="H1185">
        <v>0.05</v>
      </c>
      <c r="I1185">
        <v>627</v>
      </c>
      <c r="J1185">
        <v>100.19</v>
      </c>
    </row>
    <row r="1186" spans="1:10" x14ac:dyDescent="0.25">
      <c r="A1186" t="s">
        <v>1505</v>
      </c>
      <c r="B1186" s="1">
        <v>46017</v>
      </c>
      <c r="C1186" t="s">
        <v>189</v>
      </c>
      <c r="D1186" t="s">
        <v>19</v>
      </c>
      <c r="E1186" t="s">
        <v>20</v>
      </c>
      <c r="F1186" t="s">
        <v>14</v>
      </c>
      <c r="G1186">
        <v>2</v>
      </c>
      <c r="H1186">
        <v>0</v>
      </c>
      <c r="I1186">
        <v>360</v>
      </c>
      <c r="J1186">
        <v>71.260000000000005</v>
      </c>
    </row>
    <row r="1187" spans="1:10" x14ac:dyDescent="0.25">
      <c r="A1187" t="s">
        <v>1506</v>
      </c>
      <c r="B1187" s="1">
        <v>46017</v>
      </c>
      <c r="C1187" t="s">
        <v>1145</v>
      </c>
      <c r="D1187" t="s">
        <v>19</v>
      </c>
      <c r="E1187" t="s">
        <v>20</v>
      </c>
      <c r="F1187" t="s">
        <v>21</v>
      </c>
      <c r="G1187">
        <v>4</v>
      </c>
      <c r="H1187">
        <v>0</v>
      </c>
      <c r="I1187">
        <v>720</v>
      </c>
      <c r="J1187">
        <v>147.81</v>
      </c>
    </row>
    <row r="1188" spans="1:10" x14ac:dyDescent="0.25">
      <c r="A1188" t="s">
        <v>1507</v>
      </c>
      <c r="B1188" s="1">
        <v>46018</v>
      </c>
      <c r="C1188" t="s">
        <v>135</v>
      </c>
      <c r="D1188" t="s">
        <v>37</v>
      </c>
      <c r="E1188" t="s">
        <v>28</v>
      </c>
      <c r="F1188" t="s">
        <v>21</v>
      </c>
      <c r="G1188">
        <v>3</v>
      </c>
      <c r="H1188">
        <v>0.1</v>
      </c>
      <c r="I1188">
        <v>216</v>
      </c>
      <c r="J1188">
        <v>51.84</v>
      </c>
    </row>
    <row r="1189" spans="1:10" x14ac:dyDescent="0.25">
      <c r="A1189" t="s">
        <v>1508</v>
      </c>
      <c r="B1189" s="1">
        <v>46018</v>
      </c>
      <c r="C1189" t="s">
        <v>685</v>
      </c>
      <c r="D1189" t="s">
        <v>50</v>
      </c>
      <c r="E1189" t="s">
        <v>28</v>
      </c>
      <c r="F1189" t="s">
        <v>14</v>
      </c>
      <c r="G1189">
        <v>1</v>
      </c>
      <c r="H1189">
        <v>0</v>
      </c>
      <c r="I1189">
        <v>240</v>
      </c>
      <c r="J1189">
        <v>56.77</v>
      </c>
    </row>
    <row r="1190" spans="1:10" x14ac:dyDescent="0.25">
      <c r="A1190" t="s">
        <v>1509</v>
      </c>
      <c r="B1190" s="1">
        <v>46018</v>
      </c>
      <c r="C1190" t="s">
        <v>381</v>
      </c>
      <c r="D1190" t="s">
        <v>91</v>
      </c>
      <c r="E1190" t="s">
        <v>13</v>
      </c>
      <c r="F1190" t="s">
        <v>38</v>
      </c>
      <c r="G1190">
        <v>3</v>
      </c>
      <c r="H1190">
        <v>0</v>
      </c>
      <c r="I1190">
        <v>90</v>
      </c>
      <c r="J1190">
        <v>33.840000000000003</v>
      </c>
    </row>
    <row r="1191" spans="1:10" x14ac:dyDescent="0.25">
      <c r="A1191" t="s">
        <v>1510</v>
      </c>
      <c r="B1191" s="1">
        <v>46018</v>
      </c>
      <c r="C1191" t="s">
        <v>909</v>
      </c>
      <c r="D1191" t="s">
        <v>32</v>
      </c>
      <c r="E1191" t="s">
        <v>28</v>
      </c>
      <c r="F1191" t="s">
        <v>14</v>
      </c>
      <c r="G1191">
        <v>2</v>
      </c>
      <c r="H1191">
        <v>0</v>
      </c>
      <c r="I1191">
        <v>1000</v>
      </c>
      <c r="J1191">
        <v>295.45999999999998</v>
      </c>
    </row>
    <row r="1192" spans="1:10" x14ac:dyDescent="0.25">
      <c r="A1192" t="s">
        <v>1511</v>
      </c>
      <c r="B1192" s="1">
        <v>46019</v>
      </c>
      <c r="C1192" t="s">
        <v>179</v>
      </c>
      <c r="D1192" t="s">
        <v>32</v>
      </c>
      <c r="E1192" t="s">
        <v>28</v>
      </c>
      <c r="F1192" t="s">
        <v>38</v>
      </c>
      <c r="G1192">
        <v>5</v>
      </c>
      <c r="H1192">
        <v>0.1</v>
      </c>
      <c r="I1192">
        <v>2250</v>
      </c>
      <c r="J1192">
        <v>583.49</v>
      </c>
    </row>
    <row r="1193" spans="1:10" x14ac:dyDescent="0.25">
      <c r="A1193" t="s">
        <v>1512</v>
      </c>
      <c r="B1193" s="1">
        <v>46019</v>
      </c>
      <c r="C1193" t="s">
        <v>911</v>
      </c>
      <c r="D1193" t="s">
        <v>73</v>
      </c>
      <c r="E1193" t="s">
        <v>74</v>
      </c>
      <c r="F1193" t="s">
        <v>21</v>
      </c>
      <c r="G1193">
        <v>4</v>
      </c>
      <c r="H1193">
        <v>0.05</v>
      </c>
      <c r="I1193">
        <v>30.4</v>
      </c>
      <c r="J1193">
        <v>7.74</v>
      </c>
    </row>
    <row r="1194" spans="1:10" x14ac:dyDescent="0.25">
      <c r="A1194" t="s">
        <v>1513</v>
      </c>
      <c r="B1194" s="1">
        <v>46019</v>
      </c>
      <c r="C1194" t="s">
        <v>1514</v>
      </c>
      <c r="D1194" t="s">
        <v>24</v>
      </c>
      <c r="E1194" t="s">
        <v>20</v>
      </c>
      <c r="F1194" t="s">
        <v>21</v>
      </c>
      <c r="G1194">
        <v>5</v>
      </c>
      <c r="H1194">
        <v>0</v>
      </c>
      <c r="I1194">
        <v>1100</v>
      </c>
      <c r="J1194">
        <v>298.93</v>
      </c>
    </row>
    <row r="1195" spans="1:10" x14ac:dyDescent="0.25">
      <c r="A1195" t="s">
        <v>1515</v>
      </c>
      <c r="B1195" s="1">
        <v>46020</v>
      </c>
      <c r="C1195" t="s">
        <v>97</v>
      </c>
      <c r="D1195" t="s">
        <v>37</v>
      </c>
      <c r="E1195" t="s">
        <v>28</v>
      </c>
      <c r="F1195" t="s">
        <v>14</v>
      </c>
      <c r="G1195">
        <v>5</v>
      </c>
      <c r="H1195">
        <v>0.1</v>
      </c>
      <c r="I1195">
        <v>360</v>
      </c>
      <c r="J1195">
        <v>83.3</v>
      </c>
    </row>
    <row r="1196" spans="1:10" x14ac:dyDescent="0.25">
      <c r="A1196" t="s">
        <v>1516</v>
      </c>
      <c r="B1196" s="1">
        <v>46020</v>
      </c>
      <c r="C1196" t="s">
        <v>275</v>
      </c>
      <c r="D1196" t="s">
        <v>73</v>
      </c>
      <c r="E1196" t="s">
        <v>74</v>
      </c>
      <c r="F1196" t="s">
        <v>21</v>
      </c>
      <c r="G1196">
        <v>1</v>
      </c>
      <c r="H1196">
        <v>0</v>
      </c>
      <c r="I1196">
        <v>8</v>
      </c>
      <c r="J1196">
        <v>2.57</v>
      </c>
    </row>
    <row r="1197" spans="1:10" x14ac:dyDescent="0.25">
      <c r="A1197" t="s">
        <v>1517</v>
      </c>
      <c r="B1197" s="1">
        <v>46020</v>
      </c>
      <c r="C1197" t="s">
        <v>406</v>
      </c>
      <c r="D1197" t="s">
        <v>37</v>
      </c>
      <c r="E1197" t="s">
        <v>28</v>
      </c>
      <c r="F1197" t="s">
        <v>29</v>
      </c>
      <c r="G1197">
        <v>2</v>
      </c>
      <c r="H1197">
        <v>0.1</v>
      </c>
      <c r="I1197">
        <v>144</v>
      </c>
      <c r="J1197">
        <v>26.04</v>
      </c>
    </row>
    <row r="1198" spans="1:10" x14ac:dyDescent="0.25">
      <c r="A1198" t="s">
        <v>1518</v>
      </c>
      <c r="B1198" s="1">
        <v>46021</v>
      </c>
      <c r="C1198" t="s">
        <v>1519</v>
      </c>
      <c r="D1198" t="s">
        <v>73</v>
      </c>
      <c r="E1198" t="s">
        <v>74</v>
      </c>
      <c r="F1198" t="s">
        <v>21</v>
      </c>
      <c r="G1198">
        <v>1</v>
      </c>
      <c r="H1198">
        <v>0.05</v>
      </c>
      <c r="I1198">
        <v>7.6</v>
      </c>
      <c r="J1198">
        <v>2.25</v>
      </c>
    </row>
    <row r="1199" spans="1:10" x14ac:dyDescent="0.25">
      <c r="A1199" t="s">
        <v>1520</v>
      </c>
      <c r="B1199" s="1">
        <v>46021</v>
      </c>
      <c r="C1199" t="s">
        <v>434</v>
      </c>
      <c r="D1199" t="s">
        <v>81</v>
      </c>
      <c r="E1199" t="s">
        <v>13</v>
      </c>
      <c r="F1199" t="s">
        <v>38</v>
      </c>
      <c r="G1199">
        <v>2</v>
      </c>
      <c r="H1199">
        <v>0.1</v>
      </c>
      <c r="I1199">
        <v>81</v>
      </c>
      <c r="J1199">
        <v>13.83</v>
      </c>
    </row>
    <row r="1200" spans="1:10" x14ac:dyDescent="0.25">
      <c r="A1200" t="s">
        <v>1521</v>
      </c>
      <c r="B1200" s="1">
        <v>46021</v>
      </c>
      <c r="C1200" t="s">
        <v>638</v>
      </c>
      <c r="D1200" t="s">
        <v>12</v>
      </c>
      <c r="E1200" t="s">
        <v>13</v>
      </c>
      <c r="F1200" t="s">
        <v>38</v>
      </c>
      <c r="G1200">
        <v>2</v>
      </c>
      <c r="H1200">
        <v>0.2</v>
      </c>
      <c r="I1200">
        <v>88</v>
      </c>
      <c r="J1200">
        <v>9.7100000000000009</v>
      </c>
    </row>
    <row r="1201" spans="1:10" x14ac:dyDescent="0.25">
      <c r="A1201" t="s">
        <v>1522</v>
      </c>
      <c r="B1201" s="1">
        <v>46022</v>
      </c>
      <c r="C1201" t="s">
        <v>137</v>
      </c>
      <c r="D1201" t="s">
        <v>50</v>
      </c>
      <c r="E1201" t="s">
        <v>28</v>
      </c>
      <c r="F1201" t="s">
        <v>21</v>
      </c>
      <c r="G1201">
        <v>4</v>
      </c>
      <c r="H1201">
        <v>0.05</v>
      </c>
      <c r="I1201">
        <v>912</v>
      </c>
      <c r="J1201">
        <v>138.9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546AF3-3B22-4BE1-9F08-4F85B6C1DF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performance</vt:lpstr>
      <vt:lpstr>Category and Region</vt:lpstr>
      <vt:lpstr>Product Performance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TmC</dc:creator>
  <cp:lastModifiedBy>TmC</cp:lastModifiedBy>
  <dcterms:created xsi:type="dcterms:W3CDTF">2026-09-11T06:07:15Z</dcterms:created>
  <dcterms:modified xsi:type="dcterms:W3CDTF">2026-09-24T13:13:04Z</dcterms:modified>
</cp:coreProperties>
</file>